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1" activeTab="1" autoFilterDateGrouping="1"/>
  </bookViews>
  <sheets>
    <sheet xmlns:r="http://schemas.openxmlformats.org/officeDocument/2006/relationships" name="_CIQHiddenCacheSheet" sheetId="1" state="veryHidden" r:id="rId1"/>
    <sheet xmlns:r="http://schemas.openxmlformats.org/officeDocument/2006/relationships" name="Snapshot" sheetId="2" state="visible" r:id="rId2"/>
    <sheet xmlns:r="http://schemas.openxmlformats.org/officeDocument/2006/relationships" name="History" sheetId="3" state="visible" r:id="rId3"/>
    <sheet xmlns:r="http://schemas.openxmlformats.org/officeDocument/2006/relationships" name="Quarters" sheetId="4" state="visible" r:id="rId4"/>
    <sheet xmlns:r="http://schemas.openxmlformats.org/officeDocument/2006/relationships" name="Valuation" sheetId="5" state="visible" r:id="rId5"/>
    <sheet xmlns:r="http://schemas.openxmlformats.org/officeDocument/2006/relationships" name="ZDdiODliMGYtNjhhNC00OT" sheetId="6" state="veryHidden" r:id="rId6"/>
    <sheet xmlns:r="http://schemas.openxmlformats.org/officeDocument/2006/relationships" name="Peers" sheetId="7" state="visible" r:id="rId7"/>
    <sheet xmlns:r="http://schemas.openxmlformats.org/officeDocument/2006/relationships" name="News" sheetId="8" state="visible" r:id="rId8"/>
    <sheet xmlns:r="http://schemas.openxmlformats.org/officeDocument/2006/relationships" name="Dashboard" sheetId="9" state="visible" r:id="rId9"/>
    <sheet xmlns:r="http://schemas.openxmlformats.org/officeDocument/2006/relationships" name="Instructions" sheetId="10" state="visible" r:id="rId10"/>
    <sheet xmlns:r="http://schemas.openxmlformats.org/officeDocument/2006/relationships" name="_RICMap" sheetId="11" state="hidden" r:id="rId11"/>
  </sheets>
  <definedNames>
    <definedName name="CIQWBGuid" hidden="1">"070e9992-7c22-4f2c-8d24-f1b9c95e8af0"</definedName>
    <definedName name="CIQWBInfo" hidden="1">"{ ""CIQVersion"":""9.53.6531.4508"" }"</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"07/16/2026 13:42:08"</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IQRNewsA6" hidden="1">News!$A$7</definedName>
    <definedName name="IQRNewsB6" hidden="1">News!$B$7</definedName>
    <definedName name="IQRNewsC6" hidden="1">News!$C$7</definedName>
    <definedName name="IQRNewsD6" hidden="1">News!$D$7</definedName>
  </definedNames>
  <calcPr calcId="191029" fullCalcOnLoad="1" iterateDelta="0.0001"/>
</workbook>
</file>

<file path=xl/styles.xml><?xml version="1.0" encoding="utf-8"?>
<styleSheet xmlns="http://schemas.openxmlformats.org/spreadsheetml/2006/main">
  <numFmts count="11">
    <numFmt numFmtId="164" formatCode="yyyy\-mm\-dd"/>
    <numFmt numFmtId="165" formatCode="\$#,##0.00;\(\$#,##0.00\);&quot;-&quot;"/>
    <numFmt numFmtId="166" formatCode="\$#,##0;\(\$#,##0\);&quot;-&quot;"/>
    <numFmt numFmtId="167" formatCode="#,##0;\(#,##0\);&quot;-&quot;"/>
    <numFmt numFmtId="168" formatCode="0.00;\(0.00\);&quot;-&quot;"/>
    <numFmt numFmtId="169" formatCode="0.0;\(0.0\);&quot;-&quot;"/>
    <numFmt numFmtId="170" formatCode="0.0&quot;x&quot;;\(0.0&quot;x&quot;\);&quot;-&quot;"/>
    <numFmt numFmtId="171" formatCode="0.0%"/>
    <numFmt numFmtId="172" formatCode="0.0&quot;x&quot;"/>
    <numFmt numFmtId="173" formatCode="0.0&quot;%&quot;"/>
    <numFmt numFmtId="174" formatCode="yyyy-mm-dd"/>
  </numFmts>
  <fonts count="25">
    <font>
      <name val="Calibri"/>
      <family val="2"/>
      <color theme="1"/>
      <sz val="11"/>
      <scheme val="minor"/>
    </font>
    <font>
      <name val="Arial"/>
      <b val="1"/>
      <color rgb="FF1F3864"/>
      <sz val="14"/>
    </font>
    <font>
      <name val="Arial"/>
      <b val="1"/>
      <sz val="11"/>
    </font>
    <font>
      <name val="Arial"/>
      <b val="1"/>
      <color rgb="FF0000FF"/>
      <sz val="11"/>
    </font>
    <font>
      <name val="Arial"/>
      <i val="1"/>
      <color rgb="FF595959"/>
      <sz val="9"/>
    </font>
    <font>
      <name val="Arial"/>
      <b val="1"/>
      <color rgb="FFFFFFFF"/>
      <sz val="11"/>
    </font>
    <font>
      <name val="Consolas"/>
      <sz val="10"/>
    </font>
    <font>
      <name val="Arial"/>
      <sz val="11"/>
    </font>
    <font>
      <name val="Arial"/>
      <b val="1"/>
      <color rgb="FFC00000"/>
      <sz val="11"/>
    </font>
    <font>
      <name val="Arial"/>
      <color rgb="FF7F6000"/>
      <sz val="11"/>
    </font>
    <font>
      <name val="Arial"/>
      <color rgb="FF808080"/>
      <sz val="11"/>
    </font>
    <font>
      <name val="Arial"/>
      <sz val="10"/>
    </font>
    <font>
      <name val="Arial"/>
      <b val="1"/>
      <color rgb="FF1F3864"/>
      <sz val="11"/>
    </font>
    <font>
      <name val="Calibri"/>
      <family val="2"/>
      <color theme="1"/>
      <sz val="11"/>
      <scheme val="minor"/>
    </font>
    <font>
      <name val="Arial"/>
      <family val="2"/>
      <b val="1"/>
      <color rgb="FF0000FF"/>
      <sz val="11"/>
    </font>
    <font>
      <name val="Arial"/>
      <family val="2"/>
      <b val="1"/>
      <color rgb="FFFFFFFF"/>
      <sz val="11"/>
    </font>
    <font>
      <name val="Consolas"/>
      <family val="3"/>
      <sz val="10"/>
    </font>
    <font>
      <name val="Arial"/>
      <family val="2"/>
      <sz val="11"/>
    </font>
    <font>
      <name val="Arial"/>
      <b val="1"/>
      <color rgb="FF000000"/>
      <sz val="11"/>
    </font>
    <font>
      <name val="Arial"/>
      <color rgb="FF000000"/>
      <sz val="11"/>
    </font>
    <font>
      <name val="Arial"/>
      <color rgb="FF595959"/>
      <sz val="9"/>
    </font>
    <font>
      <name val="Arial"/>
      <b val="1"/>
      <color rgb="FF595959"/>
      <sz val="9"/>
    </font>
    <font>
      <name val="Arial"/>
      <color rgb="FF000000"/>
      <sz val="11"/>
    </font>
    <font>
      <name val="Calibri"/>
      <b val="1"/>
      <sz val="11"/>
    </font>
    <font>
      <b val="1"/>
    </font>
  </fonts>
  <fills count="17">
    <fill>
      <patternFill/>
    </fill>
    <fill>
      <patternFill patternType="gray125"/>
    </fill>
    <fill>
      <patternFill patternType="solid">
        <fgColor rgb="FFFFF2CC"/>
      </patternFill>
    </fill>
    <fill>
      <patternFill patternType="solid">
        <fgColor rgb="FF1F3864"/>
      </patternFill>
    </fill>
    <fill>
      <patternFill patternType="solid">
        <fgColor rgb="FFD9E1F2"/>
      </patternFill>
    </fill>
    <fill>
      <patternFill patternType="solid">
        <fgColor rgb="FFE2EFDA"/>
      </patternFill>
    </fill>
    <fill>
      <patternFill patternType="solid">
        <fgColor rgb="FFEDEDED"/>
      </patternFill>
    </fill>
    <fill>
      <patternFill patternType="solid">
        <fgColor rgb="FF2E5496"/>
      </patternFill>
    </fill>
    <fill>
      <patternFill patternType="solid">
        <fgColor rgb="FFFFFF00"/>
        <bgColor indexed="64"/>
      </patternFill>
    </fill>
    <fill>
      <patternFill patternType="solid">
        <fgColor rgb="FFFFF2CC"/>
      </patternFill>
    </fill>
    <fill>
      <patternFill patternType="solid">
        <fgColor rgb="FFEDEDED"/>
      </patternFill>
    </fill>
    <fill>
      <patternFill patternType="solid">
        <fgColor rgb="FF1F3864"/>
      </patternFill>
    </fill>
    <fill>
      <patternFill patternType="solid">
        <fgColor rgb="FFE2EFDA"/>
      </patternFill>
    </fill>
    <fill>
      <patternFill patternType="solid">
        <fgColor rgb="FFD9E1F2"/>
      </patternFill>
    </fill>
    <fill>
      <patternFill patternType="solid">
        <fgColor rgb="FF1F3864"/>
      </patternFill>
    </fill>
    <fill>
      <patternFill patternType="solid">
        <fgColor rgb="FFEDEDED"/>
      </patternFill>
    </fill>
    <fill>
      <patternFill patternType="solid">
        <fgColor rgb="FFE2EFDA"/>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2">
    <xf numFmtId="0" fontId="13" fillId="0" borderId="0"/>
    <xf numFmtId="9" fontId="13" fillId="0" borderId="0"/>
  </cellStyleXfs>
  <cellXfs count="102">
    <xf numFmtId="0" fontId="0" fillId="0" borderId="0" pivotButton="0" quotePrefix="0" xfId="0"/>
    <xf numFmtId="0" fontId="2" fillId="0" borderId="0" pivotButton="0" quotePrefix="0" xfId="0"/>
    <xf numFmtId="0" fontId="5" fillId="3" borderId="1" applyAlignment="1" pivotButton="0" quotePrefix="0" xfId="0">
      <alignment horizontal="left" vertical="center" wrapText="1"/>
    </xf>
    <xf numFmtId="0" fontId="2" fillId="4" borderId="1" pivotButton="0" quotePrefix="0" xfId="0"/>
    <xf numFmtId="0" fontId="6" fillId="0" borderId="1" pivotButton="0" quotePrefix="0" xfId="0"/>
    <xf numFmtId="0" fontId="7" fillId="0" borderId="1" pivotButton="0" quotePrefix="0" xfId="0"/>
    <xf numFmtId="0" fontId="7" fillId="5" borderId="1" pivotButton="0" quotePrefix="0" xfId="0"/>
    <xf numFmtId="0" fontId="4" fillId="0" borderId="1" pivotButton="0" quotePrefix="0" xfId="0"/>
    <xf numFmtId="0" fontId="8" fillId="0" borderId="1" pivotButton="0" quotePrefix="0" xfId="0"/>
    <xf numFmtId="0" fontId="0" fillId="0" borderId="1" pivotButton="0" quotePrefix="0" xfId="0"/>
    <xf numFmtId="49" fontId="7" fillId="0" borderId="1" pivotButton="0" quotePrefix="0" xfId="0"/>
    <xf numFmtId="0" fontId="9" fillId="0" borderId="1" pivotButton="0" quotePrefix="0" xfId="0"/>
    <xf numFmtId="0" fontId="10" fillId="0" borderId="1" pivotButton="0" quotePrefix="0" xfId="0"/>
    <xf numFmtId="164" fontId="7" fillId="0" borderId="1" pivotButton="0" quotePrefix="0" xfId="0"/>
    <xf numFmtId="165" fontId="7" fillId="5" borderId="1" pivotButton="0" quotePrefix="0" xfId="0"/>
    <xf numFmtId="166" fontId="7" fillId="5" borderId="1" pivotButton="0" quotePrefix="0" xfId="0"/>
    <xf numFmtId="167" fontId="7" fillId="5" borderId="1" pivotButton="0" quotePrefix="0" xfId="0"/>
    <xf numFmtId="168" fontId="7" fillId="5" borderId="1" pivotButton="0" quotePrefix="0" xfId="0"/>
    <xf numFmtId="169" fontId="7" fillId="6" borderId="1" pivotButton="0" quotePrefix="0" xfId="0"/>
    <xf numFmtId="170" fontId="7" fillId="5" borderId="1" pivotButton="0" quotePrefix="0" xfId="0"/>
    <xf numFmtId="166" fontId="7" fillId="6" borderId="1" pivotButton="0" quotePrefix="0" xfId="0"/>
    <xf numFmtId="0" fontId="5" fillId="3" borderId="1" applyAlignment="1" pivotButton="0" quotePrefix="0" xfId="0">
      <alignment horizontal="center" vertical="center" wrapText="1"/>
    </xf>
    <xf numFmtId="170" fontId="7" fillId="6" borderId="1" pivotButton="0" quotePrefix="0" xfId="0"/>
    <xf numFmtId="165" fontId="7" fillId="6" borderId="1" pivotButton="0" quotePrefix="0" xfId="0"/>
    <xf numFmtId="0" fontId="5" fillId="3" borderId="1" pivotButton="0" quotePrefix="0" xfId="0"/>
    <xf numFmtId="0" fontId="0" fillId="3" borderId="1" pivotButton="0" quotePrefix="0" xfId="0"/>
    <xf numFmtId="165" fontId="0" fillId="6" borderId="0" pivotButton="0" quotePrefix="0" xfId="0"/>
    <xf numFmtId="0" fontId="5" fillId="7" borderId="1" pivotButton="0" quotePrefix="0" xfId="0"/>
    <xf numFmtId="0" fontId="2" fillId="0" borderId="1" pivotButton="0" quotePrefix="0" xfId="0"/>
    <xf numFmtId="165" fontId="0" fillId="6" borderId="1" pivotButton="0" quotePrefix="0" xfId="0"/>
    <xf numFmtId="169" fontId="0" fillId="6" borderId="1" pivotButton="0" quotePrefix="0" xfId="0"/>
    <xf numFmtId="0" fontId="0" fillId="5" borderId="0" pivotButton="0" quotePrefix="0" xfId="0"/>
    <xf numFmtId="0" fontId="0" fillId="6" borderId="1" pivotButton="0" quotePrefix="0" xfId="0"/>
    <xf numFmtId="166" fontId="0" fillId="6" borderId="1" pivotButton="0" quotePrefix="0" xfId="0"/>
    <xf numFmtId="170" fontId="0" fillId="6" borderId="1" pivotButton="0" quotePrefix="0" xfId="0"/>
    <xf numFmtId="0" fontId="1" fillId="0" borderId="0" pivotButton="0" quotePrefix="0" xfId="0"/>
    <xf numFmtId="0" fontId="11" fillId="0" borderId="0" pivotButton="0" quotePrefix="0" xfId="0"/>
    <xf numFmtId="0" fontId="12" fillId="0" borderId="0" pivotButton="0" quotePrefix="0" xfId="0"/>
    <xf numFmtId="0" fontId="0" fillId="0" borderId="0" pivotButton="0" quotePrefix="1" xfId="0"/>
    <xf numFmtId="0" fontId="1" fillId="0" borderId="0" applyAlignment="1" pivotButton="0" quotePrefix="0" xfId="0">
      <alignment horizontal="left" vertical="center"/>
    </xf>
    <xf numFmtId="0" fontId="14" fillId="2" borderId="1" pivotButton="0" quotePrefix="0" xfId="0"/>
    <xf numFmtId="0" fontId="15" fillId="3" borderId="1" applyAlignment="1" pivotButton="0" quotePrefix="0" xfId="0">
      <alignment horizontal="left" vertical="center" wrapText="1"/>
    </xf>
    <xf numFmtId="0" fontId="16" fillId="0" borderId="1" pivotButton="0" quotePrefix="0" xfId="0"/>
    <xf numFmtId="0" fontId="17" fillId="0" borderId="1" pivotButton="0" quotePrefix="0" xfId="0"/>
    <xf numFmtId="170" fontId="17" fillId="5" borderId="1" pivotButton="0" quotePrefix="0" xfId="0"/>
    <xf numFmtId="9" fontId="7" fillId="6" borderId="1" pivotButton="0" quotePrefix="0" xfId="1"/>
    <xf numFmtId="10" fontId="7" fillId="6" borderId="1" pivotButton="0" quotePrefix="0" xfId="1"/>
    <xf numFmtId="171" fontId="7" fillId="5" borderId="1" pivotButton="0" quotePrefix="0" xfId="1"/>
    <xf numFmtId="10" fontId="7" fillId="5" borderId="1" pivotButton="0" quotePrefix="0" xfId="1"/>
    <xf numFmtId="10" fontId="7" fillId="8" borderId="1" pivotButton="0" quotePrefix="0" xfId="1"/>
    <xf numFmtId="9" fontId="0" fillId="6" borderId="1" pivotButton="0" quotePrefix="0" xfId="1"/>
    <xf numFmtId="0" fontId="20" fillId="0" borderId="0" applyAlignment="1" pivotButton="0" quotePrefix="0" xfId="0">
      <alignment horizontal="right"/>
    </xf>
    <xf numFmtId="0" fontId="3" fillId="9" borderId="0" pivotButton="0" quotePrefix="0" xfId="0"/>
    <xf numFmtId="0" fontId="3" fillId="9" borderId="1" pivotButton="0" quotePrefix="0" xfId="0"/>
    <xf numFmtId="0" fontId="20" fillId="0" borderId="0" pivotButton="0" quotePrefix="0" xfId="0"/>
    <xf numFmtId="0" fontId="19" fillId="0" borderId="0" pivotButton="0" quotePrefix="0" xfId="0"/>
    <xf numFmtId="0" fontId="19" fillId="10" borderId="0" pivotButton="0" quotePrefix="0" xfId="0"/>
    <xf numFmtId="0" fontId="5" fillId="11" borderId="0" pivotButton="0" quotePrefix="0" xfId="0"/>
    <xf numFmtId="164" fontId="19" fillId="12" borderId="0" pivotButton="0" quotePrefix="0" xfId="0"/>
    <xf numFmtId="0" fontId="19" fillId="12" borderId="0" pivotButton="0" quotePrefix="0" xfId="0"/>
    <xf numFmtId="0" fontId="21" fillId="0" borderId="0" pivotButton="0" quotePrefix="0" xfId="0"/>
    <xf numFmtId="0" fontId="18" fillId="0" borderId="0" pivotButton="0" quotePrefix="0" xfId="0"/>
    <xf numFmtId="172" fontId="3" fillId="9" borderId="1" pivotButton="0" quotePrefix="0" xfId="0"/>
    <xf numFmtId="0" fontId="19" fillId="11" borderId="0" pivotButton="0" quotePrefix="0" xfId="0"/>
    <xf numFmtId="171" fontId="3" fillId="9" borderId="0" pivotButton="0" quotePrefix="0" xfId="0"/>
    <xf numFmtId="2" fontId="19" fillId="12" borderId="0" pivotButton="0" quotePrefix="0" xfId="0"/>
    <xf numFmtId="171" fontId="19" fillId="10" borderId="0" pivotButton="0" quotePrefix="0" xfId="0"/>
    <xf numFmtId="3" fontId="19" fillId="12" borderId="0" pivotButton="0" quotePrefix="0" xfId="0"/>
    <xf numFmtId="9" fontId="19" fillId="10" borderId="0" pivotButton="0" quotePrefix="0" xfId="0"/>
    <xf numFmtId="171" fontId="18" fillId="10" borderId="0" pivotButton="0" quotePrefix="0" xfId="0"/>
    <xf numFmtId="171" fontId="19" fillId="12" borderId="0" pivotButton="0" quotePrefix="0" xfId="0"/>
    <xf numFmtId="0" fontId="18" fillId="13" borderId="0" pivotButton="0" quotePrefix="0" xfId="0"/>
    <xf numFmtId="0" fontId="7" fillId="0" borderId="0" pivotButton="0" quotePrefix="0" xfId="0"/>
    <xf numFmtId="0" fontId="4" fillId="0" borderId="0" pivotButton="0" quotePrefix="1" xfId="0"/>
    <xf numFmtId="0" fontId="5" fillId="14" borderId="1" applyAlignment="1" pivotButton="0" quotePrefix="0" xfId="0">
      <alignment horizontal="center" vertical="center" wrapText="1"/>
    </xf>
    <xf numFmtId="0" fontId="22" fillId="0" borderId="0" pivotButton="0" quotePrefix="0" xfId="0"/>
    <xf numFmtId="172" fontId="22" fillId="15" borderId="0" pivotButton="0" quotePrefix="0" xfId="0"/>
    <xf numFmtId="9" fontId="22" fillId="15" borderId="0" pivotButton="0" quotePrefix="0" xfId="0"/>
    <xf numFmtId="0" fontId="22" fillId="15" borderId="0" pivotButton="0" quotePrefix="0" xfId="0"/>
    <xf numFmtId="173" fontId="22" fillId="15" borderId="0" pivotButton="0" quotePrefix="0" xfId="0"/>
    <xf numFmtId="0" fontId="20" fillId="0" borderId="1" pivotButton="0" quotePrefix="0" xfId="0"/>
    <xf numFmtId="0" fontId="5" fillId="14" borderId="0" pivotButton="0" quotePrefix="0" xfId="0"/>
    <xf numFmtId="164" fontId="22" fillId="16" borderId="0" pivotButton="0" quotePrefix="0" xfId="0"/>
    <xf numFmtId="0" fontId="22" fillId="16" borderId="0" pivotButton="0" quotePrefix="0" xfId="0"/>
    <xf numFmtId="173" fontId="22" fillId="0" borderId="0" pivotButton="0" quotePrefix="0" xfId="0"/>
    <xf numFmtId="0" fontId="4" fillId="0" borderId="1" pivotButton="0" quotePrefix="1" xfId="0"/>
    <xf numFmtId="0" fontId="7" fillId="5" borderId="1" pivotButton="0" quotePrefix="0" xfId="1"/>
    <xf numFmtId="0" fontId="5" fillId="0" borderId="0" pivotButton="0" quotePrefix="0" xfId="0"/>
    <xf numFmtId="0" fontId="23" fillId="0" borderId="0" pivotButton="0" quotePrefix="0" xfId="0"/>
    <xf numFmtId="0" fontId="4" fillId="0" borderId="0" pivotButton="0" quotePrefix="0" xfId="0"/>
    <xf numFmtId="0" fontId="0" fillId="0" borderId="0" pivotButton="0" quotePrefix="0" xfId="0"/>
    <xf numFmtId="0" fontId="1" fillId="0" borderId="0" applyAlignment="1" pivotButton="0" quotePrefix="0" xfId="0">
      <alignment horizontal="left" vertical="center"/>
    </xf>
    <xf numFmtId="0" fontId="20" fillId="0" borderId="0" pivotButton="0" quotePrefix="0" xfId="0"/>
    <xf numFmtId="0" fontId="24" fillId="0" borderId="0" pivotButton="0" quotePrefix="0" xfId="0"/>
    <xf numFmtId="0" fontId="2" fillId="13" borderId="1" pivotButton="0" quotePrefix="0" xfId="0"/>
    <xf numFmtId="166" fontId="7" fillId="16" borderId="1" pivotButton="0" quotePrefix="0" xfId="0"/>
    <xf numFmtId="169" fontId="7" fillId="15" borderId="1" pivotButton="0" quotePrefix="0" xfId="0"/>
    <xf numFmtId="0" fontId="13" fillId="0" borderId="0" pivotButton="0" quotePrefix="0" xfId="0"/>
    <xf numFmtId="174" fontId="13" fillId="0" borderId="0" pivotButton="0" quotePrefix="0" xfId="0"/>
    <xf numFmtId="174" fontId="7" fillId="16" borderId="1" pivotButton="0" quotePrefix="0" xfId="0"/>
    <xf numFmtId="0" fontId="7" fillId="16" borderId="1" pivotButton="0" quotePrefix="0" xfId="0"/>
    <xf numFmtId="0" fontId="7" fillId="15" borderId="1" pivotButton="0" quotePrefix="0" xfId="0"/>
  </cellXfs>
  <cellStyles count="2">
    <cellStyle name="Normal" xfId="0" builtinId="0"/>
    <cellStyle name="Percent" xfId="1" builtinId="5"/>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J1"/>
  <sheetViews>
    <sheetView workbookViewId="0">
      <selection activeCell="A1" sqref="A1"/>
    </sheetView>
  </sheetViews>
  <sheetFormatPr baseColWidth="8" defaultRowHeight="15"/>
  <sheetData>
    <row r="1">
      <c r="A1" t="n">
        <v>88</v>
      </c>
      <c r="B1" t="inlineStr">
        <is>
          <t>BAABTAVMT0NBTAFI/////wFQzQEAABxDSVEuTUVUQS5JUV9QUklNQVJZX0lORFVTVFJZAQAAABfbPAEDAAAAHkludGVyYWN0aXZlIE1lZGlhIGFuZCBTZXJ2aWNlcwBX57SZ8QrfCMlh3JnxCt8IG0NJUS5NRVRBLklRX0lORFVTVFJZX1NFQ1RPUgEAAAAX2zwBAwAAABZDb21tdW5pY2F0aW9uIFNlcnZpY2VzAFfntJnxCt8IyWHcmfEK3wgYQ0lRLk1FVEEuSVFfQ09NUEFOWV9OQU1FAQAAABfbPAEDAAAAFE1ldGEgUGxhdGZvcm1zLCBJbmMuAFfntJnxCt8IyWHcmfEK3wgbQ0lRLk1FVEEuSVFfQ09NUEFOWV9BRERSRVNTAQAAABfbPAEDAAAAODEgTWV0YSBXYXksIE1lbmxvIFBhcmssIENhbGlmb3JuaWEsIDk0MDI1LCBVbml0ZWQgU3RhdGVzAFfntJnxCt8IyWHcmfEK3wgUQ0lRLk1FVEEuSVFfRVhDSEFOR0UBAAAAF9s8AQMAAAAITmFzZGFxR1MAV+e0mfEK3wjJYdyZ8QrfCBxDSVEuTUVUQS5JUV9QUklDRV9TQUxFUy4yMDAwAQAAABfbPAECAAAADzYuODMzODc0NDE1MzMzNQEHAAAABQAAAAExAQAAAAstMTg3OTk1Njk5MQMAAAABMAIAAAAFMzg5NTgEAAAAATAHAAAACDkvNC8yMDI2CAAAAAg5LzQvMjAyNlfntJnxCt8IyWHcmfEK3wgYQ0lRLk1FVEEuSVFfUEVfRVhDTC4yMDAwAQAAABfbPAECAAAAEDIzLjI0MTM2MDU3MDUwODIBBwAAAAUAAAABMQEAAAALLTE4Nzk5NTY5OTEDAAAAATACAAAABjEw</t>
        </is>
      </c>
      <c r="C1" t="inlineStr">
        <is>
          <t>MDA2NgQAAAABMAcAAAAIOS80LzIwMjYIAAAACDkvNC8yMDI2V+e0mfEK3wjJYdyZ8QrfCBNDSVEubWV0YS5JUV9ORVdTLjEwAQAAABfbPAEDAAAAQUludmVuZXJneSBzZWN1cmVzICQyMTVNIHRheCBlcXVpdHkgaW52ZXN0bWVudCBmb3IgT2hpbyBzb2xhciBmYXJtAQMAAAAFAAAAAjE3AQAAAAkzMjI3Mzk5ODMCAAAABDc3NzHhNbWZ8QrfCLgT3JnxCt8IE0NJUS5tZXRhLklRX05FV1MuMTEBAAAAF9s8AQMAAABGQXBwbGUgcGF5cyAkMTdCIGluIElyaXNoIHRheGVzOyBVYmVyIGZhY2VzIOKCrDgyNU0gZmluZSBpbiBOZXRoZXJsYW5kcwEDAAAABQAAAAIxNwEAAAAJMzIyNzM5OTI0AgAAAAQ3Nzcx4TW1mfEK3wi4E9yZ8QrfCBNDSVEubWV0YS5JUV9ORVdTLjEyAQAAABfbPAEDAAAAKlNvcm9zIHVwcyBleHBvc3VyZSB0byB1dGlsaXRpZXMgaW4gUTIgMjAyNgEDAAAABQAAAAIxNwEAAAAJMzIyNzM5ODc2AgAAAAQ3Nzcx4TW1mfEK3wi4E9yZ8QrfCBNDSVEubWV0YS5JUV9ORVdTLjE1AQAAABfbPAEDAAAAOFdpZGVyIFMmUCA1MDAgYnJlYWR0aCBmbGFzaGVzIHdhcm5pbmcgc2lnbiBmb3IgaW52ZXN0b3JzAQMAAAAFAAAAAjE3AQAAAAkzMjI3Mzk3OTgCAAAABDc3NzHhNbWZ8QrfCLgT3JnxCt8IE0NJUS5tZXRhLklRX05FV1MuMTcBAAAAF9s8AQMAAABLU2FnZSBHZW9zeXN0ZW1zIGhhcm5lc3NlcyBl</t>
        </is>
      </c>
      <c r="D1" t="inlineStr">
        <is>
          <t>YXJ0aCdzIHByZXNzdXJlIHRvIGdlbmVyYXRlIHBvd2VyIGZvciBUZXhhcyBncmlkAQMAAAAFAAAAAjE3AQAAAAkzMjI3Mzk3NDACAAAABDc3NzHhNbWZ8QrfCLgT3JnxCt8IE0NJUS5tZXRhLklRX05FV1MuMjIBAAAAF9s8AQMAAABJQnJvYWRjYXN0ZXJzIHB1cnN1ZSBNJkEgYXMgRkNDIGxpZnRzIG93bmVyc2hpcCBjYXA7IGRlYnQgY29uY2VybnMgcGVyc2lzdAEDAAAABQAAAAIxNwEAAAAJMzIyNzM5NDUwAgAAAAQ3Nzcx4TW1mfEK3wi4E9yZ8QrfCBNDSVEubWV0YS5JUV9ORVdTLjIzAQAAABfbPAEDAAAAT1RlbmNlbnQgdG8gYmVjb21lIGxhcmdlc3QgTWFudXMgc2hhcmVob2xkZXI7IExha2VycyBzYWxlIGZ1ZWxzIHNwb3J0cyBNJkEgc3VyZ2UBAwAAAAUAAAACMTcBAAAACTMyMjczOTQwMgIAAAAENzc3MeE1tZnxCt8IuBPcmfEK3wgZQ0lRQVZHLk1FVEEuSVFfVk9MVU1FLi0zTQEAAAAX2zwBAgAAABAxOC4wOTI2NzA5MjMwNzY5AFfntJnxCt8IyWHcmfEK3wggQ0lRLk1FVEEuSVFfUEVfRVhDTF9GV0RfQ0lRLjYwMDABAAAAF9s8AQIAAAAQMTkuMDU2NTIwNDA5MjAzNwENAAAABQAAAAE5AQAAAAkxMjY5MTAzMzcCAAAACTY1MjQyMjU0MwMAAAAGMTAwMzA5BAAAAAEyBgAAAAEwBwAAAAMxNjAIAAAAATAJAAAAATEKAAAAATALAAAACzE0OTM2OTkxOTY5DAAAAAIxMg0AAAAIOS81LzIwMjZgDrWZ</t>
        </is>
      </c>
      <c r="E1" t="inlineStr">
        <is>
          <t>8QrfCMlh3JnxCt8IGENJUS5NRVRBLklRX1BFR19GV0QuNjAwMAEAAAAX2zwBAgAAABEwLjk4MDI5OTkwNTYxNDk0OQENAAAABQAAAAE5AQAAAAkxMjY5MTAzMzcCAAAACTY1MjQyMjU0MwMAAAAGMTAwMzExBAAAAAEyBgAAAAEwBwAAAAMxNjAIAAAAATAJAAAAATEKAAAAATALAAAACzE0OTM2OTkxOTY5DAAAAAIxMg0AAAAIOS81LzIwMjZgDrWZ8QrfCLU63JnxCt8IIUNJUS5NRVRBLklRX1BFX0VYQ0xfRldEX0NJUS4xMDAwMAEAAAAX2zwBAwAAAAAAYA61mfEK3wjJYdyZ8QrfCBxDSVEuTUVUQS5JUV9DQVNIX09QRVJfQ1MuOTk4AQAAABfbPAECAAAABTcxMTEzAQkAAAAFAAAAAjE5AQAAAAgyNzM5MjM3NQIAAAAFMzI4MjQJAAAAAi0xAwAAAAMxNjAGAAAACDIvMi8yMDI0BwAAAAg5LzQvMjAyNggAAAABMAQAAAABMOE1tZnxCt8ItTrcmfEK3wgdQ0lRLk1FVEEuSVFfQ0FTSF9PUEVSX0NTLjIwMDABAAAAF9s8AQIAAAAGMTMwMzAxAQkAAAAFAAAAAjE5AQAAAAgyOTk2NjY3NgIAAAAFMzI4MjQJAAAAAi0xAwAAAAMxNjAGAAAACTcvMzAvMjAyNgcAAAAIOS80LzIwMjYIAAAAATAEAAAAATDhNbWZ8QrfCLU63JnxCt8IHUNJUS5NRVRBLklRX0NBU0hfT1BFUl9DUy4xMDAwAQAAABfbPAECAAAABjExNTgwMAEJAAAABQAAAAIxOQEAAAAIMjk0NDQzMTUCAAAABTMyODI0CQAAAAItMQMAAAADMTYwBgAAAAkx</t>
        </is>
      </c>
      <c r="F1" t="inlineStr">
        <is>
          <t>LzI5LzIwMjYHAAAACDkvNC8yMDI2CAAAAAEwBAAAAAEw4TW1mfEK3wi1OtyZ8QrfCBxDSVEuTUVUQS5JUV9DQVNIX09QRVJfQ1MuOTk3AQAAABfbPAECAAAABTUwNDc1AQkAAAAFAAAAAjE5AQAAAAgyNjMyMzE1NwIAAAAFMzI4MjQJAAAAAi0xAwAAAAMxNjAGAAAACDIvMi8yMDIzBwAAAAg5LzQvMjAyNggAAAABMAQAAAABMOE1tZnxCt8ItTrcmfEK3wgeQ0lRLk1FVEEuSVFfRklMSU5HX0NVUlJFTkNZX0NTAQAAABfbPAEDAAAAA1VTRADhNbWZ8QrfCMlh3JnxCt8IHENJUS5NRVRBLklRX0NBU0hfT1BFUl9DUy45OTYBAAAAF9s8AQIAAAAFNTc2ODMBCQAAAAUAAAACMTkBAAAACDI1MjQxMzkyAgAAAAUzMjgyNAkAAAACLTEDAAAAAzE2MAYAAAAIMi8zLzIwMjIHAAAACDkvNC8yMDI2CAAAAAEwBAAAAAEw4TW1mfEK3wi1OtyZ8QrfCBxDSVEuTUVUQS5JUV9DQVNIX09QRVJfQ1MuOTk5AQAAABfbPAECAAAABTkxMzI4AQkAAAAFAAAAAjE5AQAAAAgyODQ0ODI2MQIAAAAFMzI4MjQJAAAAAi0xAwAAAAMxNjAGAAAACTEvMzAvMjAyNQcAAAAIOS80LzIwMjYIAAAAATAEAAAAATDhNbWZ8QrfCLU63JnxCt8IGkNJUS5NRVRBLklRX1RPVEFMX0RFQlQuOTk2AQAAABfbPAECAAAABTEzODczAQgAAAAFAAAAATEBAAAACy0yMDExODQzODA0AwAAAAMxNjACAAAABDQxNzMEAAAAATAHAAAACDkvNC8yMDI2CAAAAAox</t>
        </is>
      </c>
      <c r="G1" t="inlineStr">
        <is>
          <t>Mi8zMS8yMDIxCQAAAAEw4TW1mfEK3wi4E9yZ8QrfCBVDSVEuTUVUQS5JUV9DQVBFWC45OTYBAAAAF9s8AQIAAAAGLTE4NjkwAQgAAAAFAAAAATEBAAAACy0yMDExODQzODA0AwAAAAMxNjACAAAABDIwMjEEAAAAATAHAAAACDkvNC8yMDI2CAAAAAoxMi8zMS8yMDIxCQAAAAEwYA61mfEK3wi1OtyZ8QrfCB1DSVEuTUVUQS5JUV9UT1RBTF9BU1NFVFMuMjAwMAEAAAAX2zwBAgAAAAY0NDk5NTYBCAAAAAUAAAABMQEAAAALLTE4Nzk5NTY5OTEDAAAAAzE2MAIAAAAEMTAwNwQAAAABMAcAAAAIOS80LzIwMjYIAAAACTYvMzAvMjAyNgkAAAABMOE1tZnxCt8IuBPcmfEK3wgcQ0lRLk1FVEEuSVFfVE9UQUxfRVFVSVRZLjk5OAEAAAAX2zwBAgAAAAYxNTMxNjgBCAAAAAUAAAABMQEAAAALLTE5MDg1MTMzNTIDAAAAAzE2MAIAAAAEMTI3NQQAAAABMAcAAAAIOS80LzIwMjYIAAAACjEyLzMxLzIwMjMJAAAAATDhNbWZ8QrfCLgT3JnxCt8IH0NJUS5NRVRBLklRX0NBU0hfU1RfSU5WRVNULjEwMDABAAAAF9s8AQIAAAAFODE1OTIBCAAAAAUAAAABMQEAAAALLTE5MDg1MTMzNTMDAAAAAzE2MAIAAAAEMTAwMgQAAAABMAcAAAAIOS80LzIwMjYIAAAACjEyLzMxLzIwMjUJAAAAATDhNbWZ8QrfCLgT3JnxCt8IIUNJUS5NRVRBLklRX1RPVEFMX0RJVl9QQUlEX0NGLjk5NgEAAAAX2zwBAwAAAAAAYA61mfEK3wi4E9yZ8Qrf</t>
        </is>
      </c>
      <c r="H1" t="inlineStr">
        <is>
          <t>CBJDSVEuTUVUQS5JUV9OSS45OTkBAAAAF9s8AQIAAAAFNjIzNjABCAAAAAUAAAABMQEAAAALLTE5MDg1MTMzNDUDAAAAAzE2MAIAAAACMTUEAAAAATAHAAAACDkvNC8yMDI2CAAAAAoxMi8zMS8yMDI0CQAAAAEwYA61mfEK3wi1OtyZ8QrfCBNDSVEuTUVUQS5JUV9HUC4xMDAwAQAAABfbPAECAAAABjE2NDc5MQEIAAAABQAAAAExAQAAAAstMTkwODUxMzM1MwMAAAADMTYwAgAAAAIxMAQAAAABMAcAAAAIOS80LzIwMjYIAAAACjEyLzMxLzIwMjUJAAAAATBgDrWZ8QrfCLU63JnxCt8IHUNJUS5NRVRBLklRX1FVSUNLX1JBVElPLjEwMDAwAQAAABfbPAECAAAACDIuNDIyODE3AQgAAAAFAAAAATEBAAAACy0xOTA4NTExNTAwAwAAAAMxNjACAAAABDQxMjEEAAAAATAHAAAACDkvNC8yMDI2CAAAAAoxMi8zMS8yMDI1CQAAAAEwYA61mfEK3wi1OtyZ8QrfCB5DSVEuTUVUQS5JUV9DQVNIX1NUX0lOVkVTVC45OTkBAAAAF9s8AQIAAAAFNzc4MTUBCAAAAAUAAAABMQEAAAALLTE5MDg1MTMzNDUDAAAAAzE2MAIAAAAEMTAwMgQAAAABMAcAAAAIOS80LzIwMjYIAAAACjEyLzMxLzIwMjQJAAAAATDhNbWZ8QrfCLgT3JnxCt8IEkNJUS5NRVRBLklRX05JLjk5OAEAAAAX2zwBAgAAAAUzOTA5OAEIAAAABQAAAAExAQAAAAstMTkwODUxMzM1MgMAAAADMTYwAgAAAAIxNQQAAAABMAcAAAAIOS80LzIwMjYIAAAACjEyLzMx</t>
        </is>
      </c>
      <c r="I1" t="inlineStr">
        <is>
          <t>LzIwMjMJAAAAATBgDrWZ8QrfCLU63JnxCt8IEkNJUS5NRVRBLklRX0dQLjk5OQEAAAAX2zwBAgAAAAYxMzQzNDABCAAAAAUAAAABMQEAAAALLTE5MDg1MTMzNDUDAAAAAzE2MAIAAAACMTAEAAAAATAHAAAACDkvNC8yMDI2CAAAAAoxMi8zMS8yMDI0CQAAAAEwYA61mfEK3wi1OtyZ8QrfCBxDSVEuTUVUQS5JUV9UT1RBTF9FUVVJVFkuOTk2AQAAABfbPAECAAAABjEyNDg3OQEIAAAABQAAAAExAQAAAAstMjAxMTg0MzgwNAMAAAADMTYwAgAAAAQxMjc1BAAAAAEwBwAAAAg5LzQvMjAyNggAAAAKMTIvMzEvMjAyMQkAAAABMOE1tZnxCt8IuBPcmfEK3wgZQ0lRLk1FVEEuSVFfT1BFUl9JTkMuMjAwMAEAAAAX2zwBAgAAAAU4NjkyNgEIAAAABQAAAAExAQAAAAstMTg3OTk1Njk5MQMAAAADMTYwAgAAAAIyMQQAAAABMAcAAAAIOS80LzIwMjYIAAAACTYvMzAvMjAyNgkAAAABMGAOtZnxCt8ItTrcmfEK3wgeQ0lRLk1FVEEuSVFfQ0FTSF9TVF9JTlZFU1QuOTk3AQAAABfbPAECAAAABTQwNzM4AQgAAAAFAAAAATEBAAAACy0xOTYxNDkxNzMyAwAAAAMxNjACAAAABDEwMDIEAAAAATAHAAAACDkvNC8yMDI2CAAAAAoxMi8zMS8yMDIyCQAAAAEw4TW1mfEK3wi4E9yZ8QrfCBJDSVEuTUVUQS5JUV9HUC45OTYBAAAAF9s8AQIAAAAFOTUyODABCAAAAAUAAAABMQEAAAALLTIwMTE4NDM4MDQDAAAAAzE2MAIAAAACMTAE</t>
        </is>
      </c>
      <c r="J1" t="inlineStr">
        <is>
          <t>AAAAATAHAAAACDkvNC8yMDI2CAAAAAoxMi8zMS8yMDIxCQAAAAEwYA61mfEK3wi1OtyZ8QrfCBpDSVEuTUVUQS5JUV9DT01NT05fUkVQLjk5OQEAAAAX2zwBAgAAAAYtNDM4OTUBCAAAAAUAAAABMQEAAAALLTE5MDg1MTMzNDUDAAAAAzE2MAIAAAAEMjE2NAQAAAABMAcAAAAIOS80LzIwMjYIAAAACjEyLzMxLzIwMjQJAAAAATBgDrWZ8QrfCLgT3JnxCt8IHENJUS5NRVRBLklRX1RPVEFMX0VRVUlUWS45OTcBAAAAF9s8AQIAAAAGMTI1NzEzAQgAAAAFAAAAATEBAAAACy0xOTYxNDkxNzMyAwAAAAMxNjACAAAABDEyNzUEAAAAATAHAAAACDkvNC8yMDI2CAAAAAoxMi8zMS8yMDIyCQAAAAEw4TW1mfEK3wi4E9yZ8QrfCB9DSVEuTUVUQS5JUV9DVVJSRU5UX1JBVElPLjEwMDAwAQAAABfbPAECAAAACDIuNTk4NzY2AQgAAAAFAAAAATEBAAAACy0xOTA4NTExNTAwAwAAAAMxNjACAAAABDQwMzAEAAAAATAHAAAACDkvNC8yMDI2CAAAAAoxMi8zMS8yMDI1CQAAAAEwYA61mfEK3wi1OtyZ8QrfCB5DSVEuTUVUQS5JUV9DQVNIX1NUX0lOVkVTVC45OTgBAAAAF9s8AQIAAAAFNjU0MDMBCAAAAAUAAAABMQEAAAALLTE5MDg1MTMzNTIDAAAAAzE2MAIAAAAEMTAwMgQAAAABMAcAAAAIOS80LzIwMjYIAAAACjEyLzMxLzIwMjMJAAAAATDhNbWZ8QrfCLgT3JnxCt8IEkNJUS5NRVRBLklRX05JLjk5NwEAAAAX2zwBAgAA</t>
        </is>
      </c>
      <c r="K1" t="inlineStr">
        <is>
          <t>AAUyMzIwMAEIAAAABQAAAAExAQAAAAstMTk2MTQ5MTczMgMAAAADMTYwAgAAAAIxNQQAAAABMAcAAAAIOS80LzIwMjYIAAAACjEyLzMxLzIwMjIJAAAAATBgDrWZ8QrfCLU63JnxCt8IEkNJUS5NRVRBLklRX0dQLjk5OAEAAAAX2zwBAgAAAAYxMDg5NDMBCAAAAAUAAAABMQEAAAALLTE5MDg1MTMzNTIDAAAAAzE2MAIAAAACMTAEAAAAATAHAAAACDkvNC8yMDI2CAAAAAoxMi8zMS8yMDIzCQAAAAEwYA61mfEK3wi1OtyZ8QrfCCJDSVEuTUVUQS5JUV9UT1RBTF9ERUJUX0VRVUlUWS41MDAwAQAAABfbPAECAAAABzQyLjk5NzMBCAAAAAUAAAABMQEAAAALLTE4Nzk5NTkwOTIDAAAAAzE2MAIAAAAENDAzNAQAAAABMAcAAAAIOS80LzIwMjYIAAAACTYvMzAvMjAyNgkAAAABMGAOtZnxCt8ItTrcmfEK3wgSQ0lRLk1FVEEuSVFfR1AuOTk3AQAAABfbPAECAAAABTkyODU1AQgAAAAFAAAAATEBAAAACy0xOTYxNDkxNzMyAwAAAAMxNjACAAAAAjEwBAAAAAEwBwAAAAg5LzQvMjAyNggAAAAKMTIvMzEvMjAyMgkAAAABMGAOtZnxCt8ItTrcmfEK3wgYQ0lRLk1FVEEuSVFfT1BFUl9JTkMuOTk4AQAAABfbPAECAAAABTQ2NzUxAQgAAAAFAAAAATEBAAAACy0xOTA4NTEzMzUyAwAAAAMxNjACAAAAAjIxBAAAAAEwBwAAAAg5LzQvMjAyNggAAAAKMTIvMzEvMjAyMwkAAAABMGAOtZnxCt8ItTrcmfEK3wgbQ0lRLk1FVEEu</t>
        </is>
      </c>
      <c r="L1" t="inlineStr">
        <is>
          <t>SVFfQ09NTU9OX1JFUC4xMDAwAQAAABfbPAECAAAABi00NDY0OAEIAAAABQAAAAExAQAAAAstMTkwODUxMzM1MwMAAAADMTYwAgAAAAQyMTY0BAAAAAEwBwAAAAg5LzQvMjAyNggAAAAKMTIvMzEvMjAyNQkAAAABMGAOtZnxCt8IuBPcmfEK3wgfQ0lRLk1FVEEuSVFfU1RPQ0tfQkFTRURfQ0YuMjAwMAEAAAAX2zwBAgAAAAUyNTEzNgEIAAAABQAAAAExAQAAAAstMTg3OTk1Njk5MQMAAAADMTYwAgAAAAQyMTI3BAAAAAEwBwAAAAg5LzQvMjAyNggAAAAJNi8zMC8yMDI2CQAAAAEwYA61mfEK3wi4E9yZ8QrfCB1DSVEuTUVUQS5JUV9ESUxVVF9XRUlHSFQuMTAwMAEAAAAX2zwBAgAAAAQyNTc0AOE1tZnxCt8IuBPcmfEK3wgdQ0lRLk1FVEEuSVFfVE9UQUxfQVNTRVRTLjEwMDABAAAAF9s8AQIAAAAGMzY2MDIxAQgAAAAFAAAAATEBAAAACy0xOTA4NTEzMzUzAwAAAAMxNjACAAAABDEwMDcEAAAAATAHAAAACDkvNC8yMDI2CAAAAAoxMi8zMS8yMDI1CQAAAAEw4TW1mfEK3wi4E9yZ8QrfCBpDSVEuTUVUQS5JUV9DT01NT05fUkVQLjk5OAEAAAAX2zwBAgAAAAYtMjY3ODYBCAAAAAUAAAABMQEAAAALLTE5MDg1MTMzNTIDAAAAAzE2MAIAAAAEMjE2NAQAAAABMAcAAAAIOS80LzIwMjYIAAAACjEyLzMxLzIwMjMJAAAAATBgDrWZ8QrfCLgT3JnxCt8IH0NJUS5NRVRBLklRX1NUT0NLX0JBU0VEX0NGLjEwMDABAAAA</t>
        </is>
      </c>
      <c r="M1" t="inlineStr">
        <is>
          <t>F9s8AQIAAAAFMjA0MjcBCAAAAAUAAAABMQEAAAALLTE5MDg1MTMzNTMDAAAAAzE2MAIAAAAEMjEyNwQAAAABMAcAAAAIOS80LzIwMjYIAAAACjEyLzMxLzIwMjUJAAAAATBgDrWZ8QrfCLgT3JnxCt8IFkNJUS5NRVRBLklRX0VCSVREQS45OTgBAAAAF9s8AQIAAAAFNTc5MjkBCAAAAAUAAAABMQEAAAALLTE5MDg1MTMzNTIDAAAAAzE2MAIAAAAENDA1MQQAAAABMAcAAAAIOS80LzIwMjYIAAAACjEyLzMxLzIwMjMJAAAAATBgDrWZ8QrfCLU63JnxCt8IGUNJUS5NRVRBLklRX1RPVEFMX1JFVi45OTkBAAAAF9s8AQIAAAAGMTY0NTAxAQgAAAAFAAAAATEBAAAACy0xOTA4NTEzMzQ1AwAAAAMxNjACAAAAAjI4BAAAAAEwBwAAAAg5LzQvMjAyNggAAAAKMTIvMzEvMjAyNAkAAAABMGAOtZnxCt8ItTrcmfEK3wgdQ0lRLk1FVEEuSVFfRElMVVRfV0VJR0hULjIwMDABAAAAF9s8AQIAAAAGMjU2Ni41AOE1tZnxCt8IuBPcmfEK3wgaQ0lRLk1FVEEuSVFfVE9UQUxfUkVWLjEwMDABAAAAF9s8AQIAAAAGMjAwOTY2AQgAAAAFAAAAATEBAAAACy0xOTA4NTEzMzUzAwAAAAMxNjACAAAAAjI4BAAAAAEwBwAAAAg5LzQvMjAyNggAAAAKMTIvMzEvMjAyNQkAAAABMGAOtZnxCt8ItTrcmfEK3wgcQ0lRLk1FVEEuSVFfRElMVVRfV0VJR0hULjk5OQEAAAAX2zwBAgAAAAQyNjE0AOE1tZnxCt8IuBPcmfEK3wgcQ0lRLk1FVEEu</t>
        </is>
      </c>
      <c r="N1" t="inlineStr">
        <is>
          <t>SVFfVE9UQUxfQVNTRVRTLjk5OQEAAAAX2zwBAgAAAAYyNzYwNTQBCAAAAAUAAAABMQEAAAALLTE5MDg1MTMzNDUDAAAAAzE2MAIAAAAEMTAwNwQAAAABMAcAAAAIOS80LzIwMjYIAAAACjEyLzMxLzIwMjQJAAAAATDhNbWZ8QrfCLgT3JnxCt8IG0NJUS5NRVRBLklRX1RPVEFMX0RFQlQuMjAwMAEAAAAX2zwBAgAAAAYxMTIzMTgBCAAAAAUAAAABMQEAAAALLTE4Nzk5NTY5OTEDAAAAAzE2MAIAAAAENDE3MwQAAAABMAcAAAAIOS80LzIwMjYIAAAACTYvMzAvMjAyNgkAAAABMOE1tZnxCt8IuBPcmfEK3wgaQ0lRLk1FVEEuSVFfQ09NTU9OX1JFUC45OTcBAAAAF9s8AQIAAAAGLTMxNTUxAQgAAAAFAAAAATEBAAAACy0xOTYxNDkxNzMyAwAAAAMxNjACAAAABDIxNjQEAAAAATAHAAAACDkvNC8yMDI2CAAAAAoxMi8zMS8yMDIyCQAAAAEwYA61mfEK3wi4E9yZ8QrfCB5DSVEuTUVUQS5JUV9TVE9DS19CQVNFRF9DRi45OTkBAAAAF9s8AQIAAAAFMTY2OTABCAAAAAUAAAABMQEAAAALLTE5MDg1MTMzNDUDAAAAAzE2MAIAAAAEMjEyNwQAAAABMAcAAAAIOS80LzIwMjYIAAAACjEyLzMxLzIwMjQJAAAAATBgDrWZ8QrfCLgT3JnxCt8IFkNJUS5NRVRBLklRX0VCSVREQS45OTcBAAAAF9s8AQIAAAAFNDIyNDEBCAAAAAUAAAABMQEAAAALLTE5NjE0OTE3MzIDAAAAAzE2MAIAAAAENDA1MQQAAAABMAcAAAAIOS80LzIw</t>
        </is>
      </c>
      <c r="O1" t="inlineStr">
        <is>
          <t>MjYIAAAACjEyLzMxLzIwMjIJAAAAATBgDrWZ8QrfCLU63JnxCt8IGUNJUS5NRVRBLklRX1RPVEFMX1JFVi45OTgBAAAAF9s8AQIAAAAGMTM0OTAyAQgAAAAFAAAAATEBAAAACy0xOTA4NTEzMzUyAwAAAAMxNjACAAAAAjI4BAAAAAEwBwAAAAg5LzQvMjAyNggAAAAKMTIvMzEvMjAyMwkAAAABMGAOtZnxCt8ItTrcmfEK3wgVQ0lRLk1FVEEuSVFfQ0FQRVguOTk4AQAAABfbPAECAAAABi0yNzA0NQEIAAAABQAAAAExAQAAAAstMTkwODUxMzM1MgMAAAADMTYwAgAAAAQyMDIxBAAAAAEwBwAAAAg5LzQvMjAyNggAAAAKMTIvMzEvMjAyMwkAAAABMGAOtZnxCt8ItTrcmfEK3wgVQ0lRLk1FVEEuSVFfQ0FQRVguOTk3AQAAABfbPAECAAAABi0zMTE4NgEIAAAABQAAAAExAQAAAAstMTk2MTQ5MTczMgMAAAADMTYwAgAAAAQyMDIxBAAAAAEwBwAAAAg5LzQvMjAyNggAAAAKMTIvMzEvMjAyMgkAAAABMGAOtZnxCt8ItTrcmfEK3wghQ0lRLk1FVEEuSVFfVE9UQUxfRElWX1BBSURfQ0YuOTk3AQAAABfbPAEDAAAAAABgDrWZ8QrfCLgT3JnxCt8IGUNJUS5NRVRBLklRX0VCSVRfSU5ULjIwMDABAAAAF9s8AQIAAAAJNDIuODQxNzkzAQgAAAAFAAAAATEBAAAACy0xODc5OTU2OTkxAwAAAAMxNjACAAAABDQxODkEAAAAATAHAAAACDkvNC8yMDI2CAAAAAk2LzMwLzIwMjYJAAAAATBgDrWZ8QrfCLU63JnxCt8IEkNJUS5N</t>
        </is>
      </c>
      <c r="P1" t="inlineStr">
        <is>
          <t>RVRBLklRX05JLjk5NgEAAAAX2zwBAgAAAAUzOTM3MAEIAAAABQAAAAExAQAAAAstMjAxMTg0MzgwNAMAAAADMTYwAgAAAAIxNQQAAAABMAcAAAAIOS80LzIwMjYIAAAACjEyLzMxLzIwMjEJAAAAATBgDrWZ8QrfCLU63JnxCt8IGENJUS5NRVRBLklRX09QRVJfSU5DLjk5OQEAAAAX2zwBAgAAAAU2OTM4MAEIAAAABQAAAAExAQAAAAstMTkwODUxMzM0NQMAAAADMTYwAgAAAAIyMQQAAAABMAcAAAAIOS80LzIwMjYIAAAACjEyLzMxLzIwMjQJAAAAATBgDrWZ8QrfCLU63JnxCt8IGENJUS5NRVRBLklRX09QRVJfSU5DLjk5NwEAAAAX2zwBAgAAAAUzMzU1NQEIAAAABQAAAAExAQAAAAstMTk2MTQ5MTczMgMAAAADMTYwAgAAAAIyMQQAAAABMAcAAAAIOS80LzIwMjYIAAAACjEyLzMxLzIwMjIJAAAAATBgDrWZ8QrfCLU63JnxCt8IFkNJUS5NRVRBLklRX0VCSVREQS45OTkBAAAAF9s8AQIAAAAFODQ4MjABCAAAAAUAAAABMQEAAAALLTE5MDg1MTMzNDUDAAAAAzE2MAIAAAAENDA1MQQAAAABMAcAAAAIOS80LzIwMjYIAAAACjEyLzMxLzIwMjQJAAAAATBgDrWZ8QrfCLU63JnxCt8IHENJUS5NRVRBLklRX0RJTFVUX1dFSUdIVC45OTgBAAAAF9s8AQIAAAAEMjYyOQDhNbWZ8QrfCLgT3JnxCt8IHENJUS5NRVRBLklRX1RPVEFMX0FTU0VUUy45OTgBAAAAF9s8AQIAAAAGMjI5NjIzAQgAAAAFAAAAATEBAAAACy0x</t>
        </is>
      </c>
      <c r="Q1" t="inlineStr">
        <is>
          <t>OTA4NTEzMzUyAwAAAAMxNjACAAAABDEwMDcEAAAAATAHAAAACDkvNC8yMDI2CAAAAAoxMi8zMS8yMDIzCQAAAAEw4TW1mfEK3wi4E9yZ8QrfCBtDSVEuTUVUQS5JUV9UT1RBTF9ERUJULjEwMDABAAAAF9s8AQIAAAAFODUwODEBCAAAAAUAAAABMQEAAAALLTE5MDg1MTMzNTMDAAAAAzE2MAIAAAAENDE3MwQAAAABMAcAAAAIOS80LzIwMjYIAAAACjEyLzMxLzIwMjUJAAAAATDhNbWZ8QrfCLgT3JnxCt8IGkNJUS5NRVRBLklRX0NPTU1PTl9SRVAuOTk2AQAAABfbPAECAAAABi01MDA1MgEIAAAABQAAAAExAQAAAAstMjAxMTg0MzgwNAMAAAADMTYwAgAAAAQyMTY0BAAAAAEwBwAAAAg5LzQvMjAyNggAAAAKMTIvMzEvMjAyMQkAAAABMGAOtZnxCt8IuBPcmfEK3wgeQ0lRLk1FVEEuSVFfU1RPQ0tfQkFTRURfQ0YuOTk4AQAAABfbPAECAAAABTE0MDI3AQgAAAAFAAAAATEBAAAACy0xOTA4NTEzMzUyAwAAAAMxNjACAAAABDIxMjcEAAAAATAHAAAACDkvNC8yMDI2CAAAAAoxMi8zMS8yMDIzCQAAAAEwYA61mfEK3wi1OtyZ8QrfCBZDSVEuTUVUQS5JUV9DQVBFWC4yMDAwAQAAABfbPAECAAAABi04OTMyNQEIAAAABQAAAAExAQAAAAstMTg3OTk1Njk5MQMAAAADMTYwAgAAAAQyMDIxBAAAAAEwBwAAAAg5LzQvMjAyNggAAAAJNi8zMC8yMDI2CQAAAAEwYA61mfEK3wi4E9yZ8QrfCBZDSVEuTUVUQS5JUV9FQklU</t>
        </is>
      </c>
      <c r="R1" t="inlineStr">
        <is>
          <t>REEuOTk2AQAAABfbPAECAAAABTU0NzIwAQgAAAAFAAAAATEBAAAACy0yMDExODQzODA0AwAAAAMxNjACAAAABDQwNTEEAAAAATAHAAAACDkvNC8yMDI2CAAAAAoxMi8zMS8yMDIxCQAAAAEwYA61mfEK3wi1OtyZ8QrfCBlDSVEuTUVUQS5JUV9UT1RBTF9SRVYuOTk3AQAAABfbPAECAAAABjExNjYwOQEIAAAABQAAAAExAQAAAAstMTk2MTQ5MTczMgMAAAADMTYwAgAAAAIyOAQAAAABMAcAAAAIOS80LzIwMjYIAAAACjEyLzMxLzIwMjIJAAAAATBgDrWZ8QrfCLU63JnxCt8IHENJUS5NRVRBLklRX0RJTFVUX1dFSUdIVC45OTYBAAAAF9s8AQIAAAAEMjg1OQDhNbWZ8QrfCLgT3JnxCt8IHENJUS5NRVRBLklRX1RPVEFMX0FTU0VUUy45OTYBAAAAF9s8AQIAAAAGMTY1OTg3AQgAAAAFAAAAATEBAAAACy0yMDExODQzODA0AwAAAAMxNjACAAAABDEwMDcEAAAAATAHAAAACDkvNC8yMDI2CAAAAAoxMi8zMS8yMDIxCQAAAAEw4TW1mfEK3wi4E9yZ8QrfCBpDSVEuTUVUQS5JUV9UT1RBTF9ERUJULjk5OAEAAAAX2zwBAgAAAAUzNzIzNAEIAAAABQAAAAExAQAAAAstMTkwODUxMzM1MgMAAAADMTYwAgAAAAQ0MTczBAAAAAEwBwAAAAg5LzQvMjAyNggAAAAKMTIvMzEvMjAyMwkAAAABMOE1tZnxCt8IuBPcmfEK3wgiQ0lRLk1FVEEuSVFfVE9UQUxfRElWX1BBSURfQ0YuMTAwMAEAAAAX2zwBAgAAAAUtNTMyNAEIAAAA</t>
        </is>
      </c>
      <c r="S1" t="inlineStr">
        <is>
          <t>BQAAAAExAQAAAAstMTkwODUxMzM1MwMAAAADMTYwAgAAAAQyMDIyBAAAAAEwBwAAAAg5LzQvMjAyNggAAAAKMTIvMzEvMjAyNQkAAAABMGAOtZnxCt8IuBPcmfEK3wgeQ0lRLk1FVEEuSVFfU1RPQ0tfQkFTRURfQ0YuOTk2AQAAABfbPAECAAAABDkxNjQBCAAAAAUAAAABMQEAAAALLTIwMTE4NDM4MDQDAAAAAzE2MAIAAAAEMjEyNwQAAAABMAcAAAAIOS80LzIwMjYIAAAACjEyLzMxLzIwMjEJAAAAATBgDrWZ8QrfCLgT3JnxCt8IJUNJUS5NRVRBLklRX1NIT1JUX0lOVEVSRVNUX09WRVJfRkxPQVQBAAAAF9s8AQIAAAAGMS4yNzM5AGAOtZnxCt8ItTrcmfEK3wgdQ0lRLk1FVEEuSVFfVE9UQUxfRVFVSVRZLjIwMDABAAAAF9s8AQIAAAAGMjYxMjIxAQgAAAAFAAAAATEBAAAACy0xODc5OTU2OTkxAwAAAAMxNjACAAAABDEyNzUEAAAAATAHAAAACDkvNC8yMDI2CAAAAAk2LzMwLzIwMjYJAAAAATDhNbWZ8QrfCLgT3JnxCt8IIUNJUS5NRVRBLklRX1RPVEFMX0RJVl9QQUlEX0NGLjk5OQEAAAAX2zwBAgAAAAUtNTA3MgEIAAAABQAAAAExAQAAAAstMTkwODUxMzM0NQMAAAADMTYwAgAAAAQyMDIyBAAAAAEwBwAAAAg5LzQvMjAyNggAAAAKMTIvMzEvMjAyNAkAAAABMGAOtZnxCt8IuBPcmfEK3wghQ0lRLk1FVEEuSVFfVE9UQUxfRElWX1BBSURfQ0YuOTk4AQAAABfbPAEDAAAAAABgDrWZ8QrfCLgT3JnxCt8I</t>
        </is>
      </c>
      <c r="T1" t="inlineStr">
        <is>
          <t>GUNJUS5NRVRBLklRX0dXX0lOVEFOLjUwMDABAAAAF9s8AQIAAAAFMjM0MDYBCAAAAAUAAAABMQEAAAALLTE4Nzk5NTkwOTIDAAAAAzE2MAIAAAAFMzUzODEEAAAAATAHAAAACDkvNC8yMDI2CAAAAAk2LzMwLzIwMjYJAAAAATBgDrWZ8QrfCLU63JnxCt8IH0NJUS5NRVRBLklRX0NBU0hfU1RfSU5WRVNULjIwMDABAAAAF9s8AQIAAAAFOTAyNjABCAAAAAUAAAABMQEAAAALLTE4Nzk5NTY5OTEDAAAAAzE2MAIAAAAEMTAwMgQAAAABMAcAAAAIOS80LzIwMjYIAAAACTYvMzAvMjAyNgkAAAABMOE1tZnxCt8IuBPcmfEK3wgeQ0lRLk1FVEEuSVFfQ0FTSF9TVF9JTlZFU1QuOTk2AQAAABfbPAECAAAABTQ3OTk4AQgAAAAFAAAAATEBAAAACy0yMDExODQzODA0AwAAAAMxNjACAAAABDEwMDIEAAAAATAHAAAACDkvNC8yMDI2CAAAAAoxMi8zMS8yMDIxCQAAAAEwYA61mfEK3wi4E9yZ8QrfCBpDSVEuTUVUQS5JUV9UT1RBTF9SRVYuMjAwMAEAAAAX2zwBAgAAAAYyMjgyNDcBCAAAAAUAAAABMQEAAAALLTE4Nzk5NTY5OTEDAAAAAzE2MAIAAAACMjgEAAAAATAHAAAACDkvNC8yMDI2CAAAAAk2LzMwLzIwMjYJAAAAATBgDrWZ8QrfCLU63JnxCt8IHENJUS5NRVRBLklRX0RJTFVUX1dFSUdIVC45OTcBAAAAF9s8AQIAAAAEMjcwMgDhNbWZ8QrfCLgT3JnxCt8IHENJUS5NRVRBLklRX1RPVEFMX0FTU0VUUy45OTcBAAAA</t>
        </is>
      </c>
      <c r="U1" t="inlineStr">
        <is>
          <t>F9s8AQIAAAAGMTg1NzI3AQgAAAAFAAAAATEBAAAACy0xOTYxNDkxNzMyAwAAAAMxNjACAAAABDEwMDcEAAAAATAHAAAACDkvNC8yMDI2CAAAAAoxMi8zMS8yMDIyCQAAAAEw4TW1mfEK3wi4E9yZ8QrfCBpDSVEuTUVUQS5JUV9UT1RBTF9ERUJULjk5OQEAAAAX2zwBAgAAAAU0OTA2MAEIAAAABQAAAAExAQAAAAstMTkwODUxMzM0NQMAAAADMTYwAgAAAAQ0MTczBAAAAAEwBwAAAAg5LzQvMjAyNggAAAAKMTIvMzEvMjAyNAkAAAABMOE1tZnxCt8IuBPcmfEK3wgiQ0lRLk1FVEEuSVFfVE9UQUxfRElWX1BBSURfQ0YuMjAwMAEAAAAX2zwBAgAAAAUtNTM2NwEIAAAABQAAAAExAQAAAAstMTg3OTk1Njk5MQMAAAADMTYwAgAAAAQyMDIyBAAAAAEwBwAAAAg5LzQvMjAyNggAAAAJNi8zMC8yMDI2CQAAAAEwYA61mfEK3wi4E9yZ8QrfCB5DSVEuTUVUQS5JUV9TVE9DS19CQVNFRF9DRi45OTcBAAAAF9s8AQIAAAAFMTE5OTIBCAAAAAUAAAABMQEAAAALLTE5NjE0OTE3MzIDAAAAAzE2MAIAAAAEMjEyNwQAAAABMAcAAAAIOS80LzIwMjYIAAAACjEyLzMxLzIwMjIJAAAAATBgDrWZ8QrfCLU63JnxCt8IFkNJUS5NRVRBLklRX0NBUEVYLjEwMDABAAAAF9s8AQIAAAAGLTY5NjkxAQgAAAAFAAAAATEBAAAACy0xOTA4NTEzMzUzAwAAAAMxNjACAAAABDIwMjEEAAAAATAHAAAACDkvNC8yMDI2CAAAAAoxMi8zMS8yMDI1</t>
        </is>
      </c>
      <c r="V1" t="inlineStr">
        <is>
          <t>CQAAAAEwYA61mfEK3wi4E9yZ8QrfCBlDSVEuTUVUQS5JUV9UT1RBTF9SRVYuOTk2AQAAABfbPAECAAAABjExNzkyOQEIAAAABQAAAAExAQAAAAstMjAxMTg0MzgwNAMAAAADMTYwAgAAAAIyOAQAAAABMAcAAAAIOS80LzIwMjYIAAAACjEyLzMxLzIwMjEJAAAAATBgDrWZ8QrfCLU63JnxCt8IFUNJUS5NRVRBLklRX0NBUEVYLjk5OQEAAAAX2zwBAgAAAAYtMzcyNTYBCAAAAAUAAAABMQEAAAALLTE5MDg1MTMzNDUDAAAAAzE2MAIAAAAEMjAyMQQAAAABMAcAAAAIOS80LzIwMjYIAAAACjEyLzMxLzIwMjQJAAAAATBgDrWZ8QrfCLU63JnxCt8IGkNJUS5NRVRBLklRX1RPVEFMX0RFQlQuOTk3AQAAABfbPAECAAAABTI2NTkxAQgAAAAFAAAAATEBAAAACy0xOTYxNDkxNzMyAwAAAAMxNjACAAAABDQxNzMEAAAAATAHAAAACDkvNC8yMDI2CAAAAAoxMi8zMS8yMDIyCQAAAAEw4TW1mfEK3wi4E9yZ8QrfCBpDSVEuTUVUQS5JUV9UQlZfU0hBUkUuNTAwMAEAAAAX2zwBAgAAAAk5My4zMzM5ODcBCAAAAAUAAAABMQEAAAALLTE4Nzk5NTkwOTIDAAAAAzE2MAIAAAAENDE1NgQAAAABMAcAAAAIOS80LzIwMjYIAAAACTYvMzAvMjAyNgkAAAABMGAOtZnxCt8ItTrcmfEK3wgdQ0lRLk1FVEEuSVFfVE9UQUxfRVFVSVRZLjEwMDABAAAAF9s8AQIAAAAGMjE3MjQzAQgAAAAFAAAAATEBAAAACy0xOTA4NTEzMzUzAwAAAAMx</t>
        </is>
      </c>
      <c r="W1" t="inlineStr">
        <is>
          <t>NjACAAAABDEyNzUEAAAAATAHAAAACDkvNC8yMDI2CAAAAAoxMi8zMS8yMDI1CQAAAAEw4TW1mfEK3wi4E9yZ8QrfCBNDSVEuTUVUQS5JUV9OSS4yMDAwAQAAABfbPAECAAAABTY4MDk4AQgAAAAFAAAAATEBAAAACy0xODc5OTU2OTkxAwAAAAMxNjACAAAAAjE1BAAAAAEwBwAAAAg5LzQvMjAyNggAAAAJNi8zMC8yMDI2CQAAAAEwYA61mfEK3wi1OtyZ8QrfCBxDSVEuTUVUQS5JUV9UT1RBTF9FUVVJVFkuOTk5AQAAABfbPAECAAAABjE4MjYzNwEIAAAABQAAAAExAQAAAAstMTkwODUxMzM0NQMAAAADMTYwAgAAAAQxMjc1BAAAAAEwBwAAAAg5LzQvMjAyNggAAAAKMTIvMzEvMjAyNAkAAAABMOE1tZnxCt8IuBPcmfEK3wgTQ0lRLk1FVEEuSVFfTkkuMTAwMAEAAAAX2zwBAgAAAAU2MDQ1OAEIAAAABQAAAAExAQAAAAstMTkwODUxMzM1MwMAAAADMTYwAgAAAAIxNQQAAAABMAcAAAAIOS80LzIwMjYIAAAACjEyLzMxLzIwMjUJAAAAATBgDrWZ8QrfCLU63JnxCt8IE0NJUS5NRVRBLklRX0dQLjIwMDABAAAAF9s8AQIAAAAGMTg2NTg2AQgAAAAFAAAAATEBAAAACy0xODc5OTU2OTkxAwAAAAMxNjACAAAAAjEwBAAAAAEwBwAAAAg5LzQvMjAyNggAAAAJNi8zMC8yMDI2CQAAAAEwYA61mfEK3wi1OtyZ8QrfCBlDSVEuTUVUQS5JUV9PUEVSX0lOQy4xMDAwAQAAABfbPAECAAAABTgzMjc2AQgAAAAFAAAAATEBAAAA</t>
        </is>
      </c>
      <c r="X1" t="inlineStr">
        <is>
          <t>Cy0xOTA4NTEzMzUzAwAAAAMxNjACAAAAAjIxBAAAAAEwBwAAAAg5LzQvMjAyNggAAAAKMTIvMzEvMjAyNQkAAAABMGAOtZnxCt8ItTrcmfEK3wgbQ0lRLk1FVEEuSVFfQ09NTU9OX1JFUC4yMDAwAQAAABfbPAECAAAABi0yMTQzOAEIAAAABQAAAAExAQAAAAstMTg3OTk1Njk5MQMAAAADMTYwAgAAAAQyMTY0BAAAAAEwBwAAAAg5LzQvMjAyNggAAAAJNi8zMC8yMDI2CQAAAAEwYA61mfEK3wiE5Rf58QrfCBdDSVEuTUVUQS5JUV9FQklUREEuMjAwMAEAAAAX2zwBAgAAAAYxMDk2NTUBCAAAAAUAAAABMQEAAAALLTE4Nzk5NTY5OTEDAAAAAzE2MAIAAAAENDA1MQQAAAABMAcAAAAIOS80LzIwMjYIAAAACTYvMzAvMjAyNgkAAAABMGAOtZnxCt8ItgsY+fEK3wgXQ0lRLk1FVEEuSVFfRUJJVERBLjEwMDABAAAAF9s8AQIAAAAGMTAxODkyAQgAAAAFAAAAATEBAAAACy0xOTA4NTEzMzUzAwAAAAMxNjACAAAABDQwNTEEAAAAATAHAAAACDkvNC8yMDI2CAAAAAoxMi8zMS8yMDI1CQAAAAEwYA61mfEK3wi1OtyZ8QrfCBhDSVEuTUVUQS5JUV9PUEVSX0lOQy45OTYBAAAAF9s8AQIAAAAFNDY3NTMBCAAAAAUAAAABMQEAAAALLTIwMTE4NDM4MDQDAAAAAzE2MAIAAAACMjEEAAAAATAHAAAACDkvNC8yMDI2CAAAAAoxMi8zMS8yMDIxCQAAAAEwYA61mfEK3wi1OtyZ8QrfCBFDSVEuTUVUQS5JUV9QQlYuLgEAAAAX2zwB</t>
        </is>
      </c>
      <c r="Y1" t="inlineStr">
        <is>
          <t>AgAAABA1Ljk1NjY5MDUwNTc1MTQ5AQcAAAAFAAAAATEBAAAACy0xODc5OTU2OTkxAwAAAAEwAgAAAAYxMDAwNjcEAAAAATAHAAAACDkvMy8yMDI2CAAAAAg5LzMvMjAyNs34xwDJCt8IyWHcmfEK3wgYQ0lRLk1FVEEuSVFfVEVWX0VCSVREQS4uAQAAABfbPAECAAAAEDEzLjg0MzYwMTQ1NTQ4NDMBBwAAAAUAAAABMQEAAAALLTE4Nzk5NTY5OTEDAAAAATACAAAABjEwMDA2MwQAAAABMAcAAAAIOS8zLzIwMjYIAAAACDkvMy8yMDI2zfjHAMkK3wjJYdyZ8QrfCBtDSVEuTUVUQS5JUV9URVZfVE9UQUxfUkVWLi4BAAAAF9s8AQIAAAAQNi45MTI1NTEzMjE1MjAxMQEHAAAABQAAAAExAQAAAAstMTg3OTk1Njk5MQMAAAABMAIAAAAGMTAwMDYxBAAAAAEwBwAAAAg5LzMvMjAyNggAAAAIOS8zLzIwMjbN+McAyQrfCLU63JnxCt8IKkNJUS5NRVRBLklRX1RPVEFMX09VVFNUQU5ESU5HX0JTX0RBVEVfQ1MuLgEAAAAX2zwBAgAAAAQyNTQ4AQkAAAAFAAAAAjE5AQAAAAgyOTk2NjY3NgIAAAAFMzI2NjIJAAAAAi0xAwAAAAEwBgAAAAg4LzEvMjAyNgcAAAAIOS80LzIwMjYIAAAAATAEAAAAATDN+McAyQrfCMlh3JnxCt8IFUNJUS5NRVRBLklRX0JFVEFfNVlSLgEAAAAX2zwBAgAAABAxLjI0MjQ3MTc4NDgwODQ1AM34xwDJCt8IyWHcmfEK3wgXQ0lRLk1FVEEuSVFfQ0xPU0VQUklDRS4BAAAAF9s8AQIAAAAGNjEwLjY4</t>
        </is>
      </c>
      <c r="Z1" t="inlineStr">
        <is>
          <t>AM34xwDJCt8IyWHcmfEK3wgjQ0lRLk1FVEEuSVFfU0hBUkVTT1VUU1RBTkRJTkdfT1VULi4BAAAAF9s8AQIAAAALMjU0Ny41MDYyMjUAzfjHAMkK3wjJYdyZ8QrfCBFDSVEuTUVUQS5JUV9URVYuLgEAAAAX2zwBAgAAAA4xNTc3NzY5LjEwMTQ4MwEGAAAABQAAAAExAQAAAAstMTg3OTk1OTA5MgMAAAADMTYwAgAAAAYxMDAwNjAEAAAAATAHAAAACDkvMy8yMDI2zfjHAMkK3wi1OtyZ8QrfCBBDSVEuTUVUQS5JUV9URVYuAQAAABfbPAECAAAADjE1Nzc3NjkuMTAxNDgzAQYAAAAFAAAAATEBAAAACy0xODc5OTU5MDkyAwAAAAMxNjACAAAABjEwMDA2MAQAAAABMAcAAAAIOS8zLzIwMjbN+McAyQrfCMlh3JnxCt8IFENJUS5NRVRBLklRX1lFQVJMT1cuAQAAABfbPAECAAAABjUyMC4yNgDN+McAyQrfCMlh3JnxCt8IFkNJUS5NRVRBLklRX01BUktFVENBUC4BAAAAF9s8AQIAAAAOMTU1NTcxMS4xMDE0ODMBBgAAAAUAAAABMQEAAAALLTE4Nzk5NTkwOTIDAAAAAzE2MAIAAAAGMTAwMDU0BAAAAAEwBwAAAAg5LzMvMjAyNs34xwDJCt8IyWHcmfEK3wgXQ0lRLk1FVEEuSVFfTUFSS0VUQ0FQLi4BAAAAF9s8AQIAAAAOMTU1NTcxMS4xMDE0ODMBBgAAAAUAAAABMQEAAAALLTE4Nzk5NTkwOTIDAAAAAzE2MAIAAAAGMTAwMDU0BAAAAAEwBwAAAAg5LzMvMjAyNs34xwDJCt8ItTrcmfEK3wgbQ0lRLk1FVEEuSVFfRElW</t>
        </is>
      </c>
      <c r="AA1" t="inlineStr">
        <is>
          <t>SURFTkRfWUlFTEQuAQAAABfbPAECAAAABjAuMzQzOADN+McAyQrfCLU63JnxCt8IFUNJUS5NRVRBLklRX1lFQVJISUdILgEAAAAX2zwBAgAAAAU3OTAuOADN+McAyQrfCMlh3JnxCt8IGENJUS5NRVRBLklRX1RPVEFMX0RFQlQuLgEAAAAX2zwBAgAAAAYxMTIzMTgBCAAAAAUAAAABMQEAAAALLTE4Nzk5NTY5OTEDAAAAAzE2MAIAAAAENDE3MwQAAAABMAcAAAAIOS80LzIwMjYIAAAACTYvMzAvMjAyNgkAAAABMM34xwDJCt8ItTrcmfEK3wgcQ0lRLk1FVEEuSVFfQ0FTSF9TVF9JTlZFU1QuLgEAAAAX2zwBAgAAAAU5MDI2MAEIAAAABQAAAAExAQAAAAstMTg3OTk1Njk5MQMAAAADMTYwAgAAAAQxMDAyBAAAAAEwBwAAAAg5LzQvMjAyNggAAAAJNi8zMC8yMDI2CQAAAAEwzfjHAMkK3wi1OtyZ8QrfCBpDSVEuTUVUQS5JUV9JTlNUX09XTkVSU0hJUAUAAAAAAAAACAAAABYoSW52YWxpZCBGb3JtdWxhIE5hbWUpV+e0mfEK3wjiFIX18QrfCBdDSVEuTUVUQS5JUV9JTlNUX1NIQVJFUwUAAAAAAAAACAAAABYoSW52YWxpZCBGb3JtdWxhIE5hbWUpV+e0mfEK3wjiFIX18QrfCB1DSVEuTUVUQS5JUV9JTlNJREVSX09XTkVSU0hJUAUAAAAAAAAACAAAABYoSW52YWxpZCBGb3JtdWxhIE5hbWUpV+e0mfEK3whMPO6Z8QrfCB5DSVEuTUVUQS5JUV9CRVRBXzVZUi4wNS1TRVAtMjYBAAAAF9s8AQIAAAAQMS4yNDI0NzE3</t>
        </is>
      </c>
      <c r="AB1" t="inlineStr">
        <is>
          <t>ODQ4MDg0NQBgDrWZ8QrfCITlF/nxCt8IGkNJUS5NRVRBLklRX1BCVi4uMDUtU0VQLTI2AQAAABfbPAECAAAAEDYuMDE2MDkzNTQwMzY4NjgBBwAAAAUAAAABMQEAAAALLTE4Nzk5NTY5OTEDAAAAATACAAAABjEwMDA2NwQAAAABMAcAAAAIOS80LzIwMjYIAAAACDkvNC8yMDI2V+e0mfEK3wiE5Rf58QrfCCRDSVEuTUVUQS5JUV9URVZfVE9UQUxfUkVWLi4wNS1TRVAtMjYBAAAAF9s8AQIAAAAQNi45ODA1MjI5MTc2ODY3NgEHAAAABQAAAAExAQAAAAstMTg3OTk1Njk5MQMAAAABMAIAAAAGMTAwMDYxBAAAAAEwBwAAAAg5LzQvMjAyNggAAAAIOS80LzIwMjZX57SZ8QrfCITlF/nxCt8IIUNJUS5NRVRBLklRX1RFVl9FQklUREEuLjA1LVNFUC0yNgEAAAAX2zwBAgAAABAxMy45Nzk3MjY1NDc5MjIzAQcAAAAFAAAAATEBAAAACy0xODc5OTU2OTkxAwAAAAEwAgAAAAYxMDAwNjMEAAAAATAHAAAACDkvNC8yMDI2CAAAAAg5LzQvMjAyNlfntJnxCt8IhOUX+fEK3wgeQ0lRLk1FVEEuSVFfWUVBUkhJR0guMDUtU0VQLTI2AQAAABfbPAECAAAABTc5MC44AFfntJnxCt8IhOUX+fEK3wgkQ0lRLk1FVEEuSVFfRElWSURFTkRfWUlFTEQuMDUtU0VQLTI2AQAAABfbPAECAAAABjAuMzQzOABX57SZ8QrfCITlF/nxCt8ILENJUS5NRVRBLklRX1NIQVJFU09VVFNUQU5ESU5HX09VVC4uMDUtU0VQLTI2AQAAABfbPAECAAAA</t>
        </is>
      </c>
      <c r="AC1" t="inlineStr">
        <is>
          <t>CzI1NDcuNTA2MjI1AFfntJnxCt8IhOUX+fEK3wgfQ0lRLk1FVEEuSVFfTUFSS0VUQ0FQLjA1LVNFUC0yNgEAAAAX2zwBAgAAAA4xNTcxMjI1LjQxNDM5MwEGAAAABQAAAAExAQAAAAstMTg3OTk1OTA5MgMAAAADMTYwAgAAAAYxMDAwNTQEAAAAATAHAAAACDkvNC8yMDI2V+e0mfEK3wiE5Rf58QrfCCBDSVEuTUVUQS5JUV9NQVJLRVRDQVAuLjA1LVNFUC0yNgEAAAAX2zwBAgAAAA4xNTcxMjI1LjQxNDM5MwEGAAAABQAAAAExAQAAAAstMTg3OTk1OTA5MgMAAAADMTYwAgAAAAYxMDAwNTQEAAAAATAHAAAACDkvNC8yMDI2V+e0mfEK3wiE5Rf58QrfCBlDSVEuTUVUQS5JUV9URVYuMDUtU0VQLTI2AQAAABfbPAECAAAADjE1OTMyODMuNDE0MzkzAQYAAAAFAAAAATEBAAAACy0xODc5OTU5MDkyAwAAAAMxNjACAAAABjEwMDA2MAQAAAABMAcAAAAIOS80LzIwMjZX57SZ8QrfCITlF/nxCt8IGkNJUS5NRVRBLklRX1RFVi4uMDUtU0VQLTI2AQAAABfbPAECAAAADjE1OTMyODMuNDE0MzkzAQYAAAAFAAAAATEBAAAACy0xODc5OTU5MDkyAwAAAAMxNjACAAAABjEwMDA2MAQAAAABMAcAAAAIOS80LzIwMjZX57SZ8QrfCITlF/nxCt8IIENJUS5NRVRBLklRX0NMT1NFUFJJQ0UuMDUtU0VQLTI2AQAAABfbPAECAAAABjYxNi43NwBX57SZ8QrfCITlF/nxCt8IHUNJUS5NRVRBLklRX1lFQVJMT1cuMDUtU0VQLTI2AQAA</t>
        </is>
      </c>
      <c r="AD1" t="inlineStr">
        <is>
          <t>ABfbPAECAAAABjUyMC4yNgBX57SZ8QrfCITlF/nxCt8IM0NJUS5NRVRBLklRX1RPVEFMX09VVFNUQU5ESU5HX0JTX0RBVEVfQ1MuLjA1LVNFUC0yNgEAAAAX2zwBAgAAAAQyNTQ4AQkAAAAFAAAAAjE5AQAAAAgyOTk2NjY3NgIAAAAFMzI2NjIJAAAAAi0xAwAAAAEwBgAAAAg4LzEvMjAyNgcAAAAIOS81LzIwMjYIAAAAATAEAAAAATDhNbWZ8QrfCITlF/nxCt8IIENJUS5NRVRBLklRX0NBU0hfT1BFUi4uMDUtU0VQLTI2AQAAABfbPAECAAAABjEzMDMwMQEIAAAABQAAAAExAQAAAAstMTg3OTk1Njk5MQMAAAADMTYwAgAAAAQyMDA2BAAAAAEwBwAAAAg5LzUvMjAyNggAAAAJNi8zMC8yMDI2CQAAAAEwYA61mfEK3wiE5Rf58QrfCBxDSVEuTUVUQS5JUV9DQVBFWC4uMDUtU0VQLTI2AQAAABfbPAECAAAABi04OTMyNQEIAAAABQAAAAExAQAAAAstMTg3OTk1Njk5MQMAAAADMTYwAgAAAAQyMDIxBAAAAAEwBwAAAAg5LzUvMjAyNggAAAAJNi8zMC8yMDI2CQAAAAEwYA61mfEK3wiE5Rf58QrfCCFDSVEuTUVUQS5JUV9UT1RBTF9ERUJULi4wNS1TRVAtMjYBAAAAF9s8AQIAAAAGMTEyMzE4AQgAAAAFAAAAATEBAAAACy0xODc5OTU2OTkxAwAAAAMxNjACAAAABDQxNzMEAAAAATAHAAAACDkvNS8yMDI2CAAAAAk2LzMwLzIwMjYJAAAAATBgDrWZ8QrfCITlF/nxCt8IJUNJUS5NRVRBLklRX0NBU0hfU1RfSU5WRVNU</t>
        </is>
      </c>
      <c r="AE1" t="inlineStr">
        <is>
          <t>Li4wNS1TRVAtMjYBAAAAF9s8AQIAAAAFOTAyNjABCAAAAAUAAAABMQEAAAALLTE4Nzk5NTY5OTEDAAAAAzE2MAIAAAAEMTAwMgQAAAABMAcAAAAIOS81LzIwMjYIAAAACTYvMzAvMjAyNgkAAAABMGAOtZnxCt8IhOUX+fEK3wgaQ0lRLk1FVEEuSVFfSU5TSURFUl9TSEFSRVMBAAAAF9s8AQEAAAAJMzQxMjMyMjg4AQUAAAAFAAAAAjIxAQAAAAgyMDc2NTkxMAIAAAAIMjA3NjU0NjMGAAAAATEHAAAAATFgDrWZ8QrfCEw87pnxCt8IHUNJUS5QTFRSLklRX0lOU0lERVJfT1dORVJTSElQBQAAAAAAAAAIAAAAFihJbnZhbGlkIEZvcm11bGEgTmFtZSmxGVH88QrfCAOFcvzxCt8IGkNJUS5QTFRSLklRX0lOU1RfT1dORVJTSElQBQAAAAAAAAAIAAAAFihJbnZhbGlkIEZvcm11bGEgTmFtZSmxGVH88QrfCAOFcvzxCt8IF0NJUS5QTFRSLklRX0lOU1RfU0hBUkVTBQAAAAAAAAAIAAAAFihJbnZhbGlkIEZvcm11bGEgTmFtZSmxGVH88QrfCAOFcvzxCt8IG0NJUS5QTFRSLklRX0lORFVTVFJZX1NFQ1RPUgEAAABl+pgCAwAAABZJbmZvcm1hdGlvbiBUZWNobm9sb2d5ALEZUfzxCt8ISuhx/PEK3wgcQ0lRLlBMVFIuSVFfUFJJTUFSWV9JTkRVU1RSWQEAAABl+pgCAwAAABRBcHBsaWNhdGlvbiBTb2Z0d2FyZQCxGVH88QrfCErocfzxCt8IGENJUS5QTFRSLklRX0NPTVBBTllfTkFNRQEAAABl+pgCAwAAABpQYWxhbnRp</t>
        </is>
      </c>
      <c r="AF1" t="inlineStr">
        <is>
          <t>ciBUZWNobm9sb2dpZXMgSW5jLgCxGVH88QrfCErocfzxCt8IFENJUS5QTFRSLklRX0VYQ0hBTkdFAQAAAGX6mAIDAAAACE5hc2RhcUdTALEZUfzxCt8ISuhx/PEK3wgbQ0lRLlBMVFIuSVFfQ09NUEFOWV9BRERSRVNTAQAAAGX6mAIDAAAASDE5NTA1IEJpc2NheW5lIEJsdmQsIFN1aXRlIDIzNTAsIEF2ZW50dXJhLCBGbG9yaWRhLCAzMzE4MCwgVW5pdGVkIFN0YXRlcwCxGVH88QrfCErocfzxCt8IGENJUS5QTFRSLklRX1BFX0VYQ0wuMjAwMAEAAABl+pgCAgAAABAxNDkuMDk3NjE0MzM1NTM5AQcAAAAFAAAAATEBAAAACy0xODc5MjI4Njk5AwAAAAEwAgAAAAYxMDAwNjYEAAAAATAHAAAACDkvNC8yMDI2CAAAAAg5LzQvMjAyNrEZUfzxCt8ISuhx/PEK3wgcQ0lRLlBMVFIuSVFfUFJJQ0VfU0FMRVMuMjAwMAEAAABl+pgCAgAAABA2Ny42Njk2NzIwMDgwMTQ5AQcAAAAFAAAAATEBAAAACy0xODc5MjI4Njk5AwAAAAEwAgAAAAUzODk1OAQAAAABMAcAAAAIOS80LzIwMjYIAAAACDkvNC8yMDI2sRlR/PEK3whK6HH88QrfCCFDSVEuUExUUi5JUV9URVZfRUJJVERBLi4wNS1TRVAtMjYBAAAAZfqYAgIAAAAQMTUwLjk2MjYwMTEyNDg5NAEHAAAABQAAAAExAQAAAAstMTg3OTIyODY5OQMAAAABMAIAAAAGMTAwMDYzBAAAAAEwBwAAAAg5LzQvMjAyNggAAAAIOS80LzIwMjaxGVH88QrfCFE+cgTyCt8IGkNJUS5Q</t>
        </is>
      </c>
      <c r="AG1" t="inlineStr">
        <is>
          <t>TFRSLklRX1BCVi4uMDUtU0VQLTI2AQAAAGX6mAICAAAAEDQyLjg1NzQ0ODQwMjI5MjEBBwAAAAUAAAABMQEAAAALLTE4NzkyMjg2OTkDAAAAATACAAAABjEwMDA2NwQAAAABMAcAAAAIOS80LzIwMjYIAAAACDkvNC8yMDI2sRlR/PEK3whRPnIE8grfCCRDSVEuUExUUi5JUV9URVZfVE9UQUxfUkVWLi4wNS1TRVAtMjYBAAAAZfqYAgIAAAAPNjYuNTc2MDQwMjU0MTg3AQcAAAAFAAAAATEBAAAACy0xODc5MjI4Njk5AwAAAAEwAgAAAAYxMDAwNjEEAAAAATAHAAAACDkvNC8yMDI2CAAAAAg5LzQvMjAyNrEZUfzxCt8IUT5yBPIK3wgZQ0lRLlBMVFIuSVFfVEVWLjA1LVNFUC0yNgEAAABl+pgCAgAAAA00MDk4MzguMTc1ODE4AQYAAAAFAAAAATEBAAAACy0xODc5MjM0ODc0AwAAAAMxNjACAAAABjEwMDA2MAQAAAABMAcAAAAIOS80LzIwMjaxGVH88QrfCFE+cgTyCt8IH0NJUS5QTFRSLklRX01BUktFVENBUC4wNS1TRVAtMjYBAAAAZfqYAgIAAAANNDE4OTI1LjE4NDgxOAEGAAAABQAAAAExAQAAAAstMTg3OTIzNDg3NAMAAAADMTYwAgAAAAYxMDAwNTQEAAAAATAHAAAACDkvNC8yMDI2sRlR/PEK3whRPnIE8grfCCBDSVEuUExUUi5JUV9DTE9TRVBSSUNFLjA1LVNFUC0yNgEAAABl+pgCAgAAAAYxNzQuMzMAsRlR/PEK3whRPnIE8grfCB1DSVEuUExUUi5JUV9ZRUFSTE9XLjA1LVNFUC0yNgEAAABl+pgCAgAA</t>
        </is>
      </c>
      <c r="AH1" t="inlineStr">
        <is>
          <t>AAYxMDYuMzcAsRlR/PEK3whRPnIE8grfCB5DSVEuUExUUi5JUV9ZRUFSSElHSC4wNS1TRVAtMjYBAAAAZfqYAgIAAAAGMjA3LjUyALEZUfzxCt8IUT5yBPIK3wgsQ0lRLlBMVFIuSVFfU0hBUkVTT1VUU1RBTkRJTkdfT1VULi4wNS1TRVAtMjYBAAAAZfqYAgIAAAALMjU0Ny40NDgyMzYAsRlR/PEK3whRPnIE8grfCBpDSVEuUExUUi5JUV9URVYuLjA1LVNFUC0yNgEAAABl+pgCAgAAAA00MDk4MzguMTc1ODE4AQYAAAAFAAAAATEBAAAACy0xODc5MjM0ODc0AwAAAAMxNjACAAAABjEwMDA2MAQAAAABMAcAAAAIOS80LzIwMjaxGVH88QrfCFE+cgTyCt8IJENJUS5QTFRSLklRX0RJVklERU5EX1lJRUxELjA1LVNFUC0yNgEAAABl+pgCAwAAAAAAsRlR/PEK3whRPnIE8grfCCBDSVEuUExUUi5JUV9NQVJLRVRDQVAuLjA1LVNFUC0yNgEAAABl+pgCAgAAAA00MTg5MjUuMTg0ODE4AQYAAAAFAAAAATEBAAAACy0xODc5MjM0ODc0AwAAAAMxNjACAAAABjEwMDA1NAQAAAABMAcAAAAIOS80LzIwMjaxGVH88QrfCFE+cgTyCt8IGUNJUUFWRy5QTFRSLklRX1ZPTFVNRS4tM00BAAAAZfqYAgIAAAAQNDAuNzg0MjQzMDMwNzY5MgCxGVH88QrfCErocfzxCt8IHkNJUS5QTFRSLklRX0JFVEFfNVlSLjA1LVNFUC0yNgEAAABl+pgCAgAAABAxLjYyMTM1NDY4MDMwODk5ALEZUfzxCt8IUT5yBPIK3wgYQ0lRLlBMVFIuSVFf</t>
        </is>
      </c>
      <c r="AI1" t="inlineStr">
        <is>
          <t>UEVHX0ZXRC42MDAwAQAAAGX6mAICAAAADzEuNzA1OTc4MjY5Njg2OQENAAAABQAAAAE5AQAAAAk2ODc5OTk2OTkCAAAABzQ4NzYxNDgDAAAABjEwMDMxMQQAAAABMgYAAAABMAcAAAADMTYwCAAAAAEwCQAAAAExCgAAAAEwCwAAAAsxNDkzOTc3NzA1OAwAAAACMTINAAAACDkvNS8yMDI2sRlR/PEK3whK6HH88QrfCCBDSVEuUExUUi5JUV9QRV9FWENMX0ZXRF9DSVEuNjAwMAEAAABl+pgCAgAAABA5MS41ODg3MzU5NDYyMDE1AQ0AAAAFAAAAATkBAAAACTY4Nzk5OTY5OQIAAAAHNDg3NjE0OAMAAAAGMTAwMzA5BAAAAAEyBgAAAAEwBwAAAAMxNjAIAAAAATAJAAAAATEKAAAAATALAAAACzE0OTM5Nzc3MDU4DAAAAAIxMg0AAAAIOS81LzIwMjaxGVH88QrfCErocfzxCt8IIUNJUS5QTFRSLklRX1BFX0VYQ0xfRldEX0NJUS4xMDAwMAEAAABl+pgCAwAAAAAAsRlR/PEK3whK6HH88QrfCChDSVFSQU5HRS5QTFRSLklRX05FV1MuMS4yNS4uLi4uTkVXUyBEQVRFAwAAAGX6mAIEAAAAAAAAAAMAAAAAAAAABiJQTFRSIgRQTFRSAQAAAAkiSVFfTkVXUyIHSVFfTkVXUwIAAAABMQExAAAAAAMAAAAAAAAABiJQTFRSIgRQTFRSAQAAAAkiSVFfTkVXUyIHSVFfTkVXUwIAAAABMgEyAAAAAAMAAAAAAAAABiJQTFRSIgRQTFRSAQAAAAkiSVFfTkVXUyIHSVFfTkVXUwIAAAABMwEzAAAAAAMAAAAAAAAABiJQTFRSIgRQTFRS</t>
        </is>
      </c>
      <c r="AJ1" t="inlineStr">
        <is>
          <t>AQAAAAkiSVFfTkVXUyIHSVFfTkVXUwIAAAABNAE0sRlR/PEK3wixGVH88QrfCBJDSVEuUExUUi5JUV9ORVdTLjEBAAAAZfqYAgMAAAAzUyZQIDUwMCByZWJvdW5kcyAyLjYlIGluIEF1Z3VzdCBhZnRlciAyLW1vbnRoIHNsaWRlAQMAAAAFAAAAAjE3AQAAAAkzMjI3NDA0OTYCAAAABDc3NzGxGVH88QrfCDNdcvzxCt8IEkNJUS5QTFRSLklRX05FV1MuMgEAAABl+pgCAwAAAENJbnRlbCwgSUJNIGxlYWQgcGVlcnMgYXMgSVQgQ0VPLXRvLWVtcGxveWVlIHBheSByYXRpbyBqdW1wcyBpbiAyMDI1AQMAAAAFAAAAAjE3AQAAAAkzMjI3Mzk3MjUCAAAABDc3NzGxGVH88QrfCDNdcvzxCt8IEkNJUS5QTFRSLklRX05FV1MuMwEAAABl+pgCAwAAAE9QSk0gcHJvcG9zZXMgZGF0YSBjZW50ZXIgZnJhbWV3b3JrOyBFUkNPVCBvdXRsaW5lcyBsYXJnZSBsb2FkIHZlcmlmaWNhdGlvbiBwbGFuAQMAAAAFAAAAAjE3AQAAAAkzMjI3Mzk1MTQCAAAABDc3NzGxGVH88QrfCDNdcvzxCt8IEkNJUS5QTFRSLklRX05FV1MuNAEAAABl+pgCAwAAAENXaWRlc3QgUyZQIDUwMCBDRU8gcGF5IHJhdGlvcyByZXBvcnRlZCBmb3IgVGVzbGEsIFdlbGx0b3dlciBpbiAyMDI1AQMAAAAFAAAAAjE3AQAAAAkzMjI3Mzk0NTICAAAABDc3NzGxGVH88QrfCDNdcvzxCt8ILENJUVJBTkdFLlBMVFIuSVFfTkVXUy4xLjI1Li4uLi5ORVdTIEhF</t>
        </is>
      </c>
      <c r="AK1" t="inlineStr">
        <is>
          <t>QURMSU5FAwAAAGX6mAIEAAAAAAAAAAMAAAAAAAAABiJQTFRSIgRQTFRSAQAAAAkiSVFfTkVXUyIHSVFfTkVXUwIAAAABMQExAAAAAAMAAAAAAAAABiJQTFRSIgRQTFRSAQAAAAkiSVFfTkVXUyIHSVFfTkVXUwIAAAABMgEyAAAAAAMAAAAAAAAABiJQTFRSIgRQTFRSAQAAAAkiSVFfTkVXUyIHSVFfTkVXUwIAAAABMwEzAAAAAAMAAAAAAAAABiJQTFRSIgRQTFRSAQAAAAkiSVFfTkVXUyIHSVFfTkVXUwIAAAABNAE0sRlR/PEK3wixGVH88QrfCCpDSVFSQU5HRS5QTFRSLklRX05FV1MuMS4yNS4uLi4uTkVXUyBTT1VSQ0UDAAAAZfqYAgQAAAAAAAAAAwAAAAAAAAAGIlBMVFIiBFBMVFIBAAAACSJJUV9ORVdTIgdJUV9ORVdTAgAAAAExATEAAAAAAwAAAAAAAAAGIlBMVFIiBFBMVFIBAAAACSJJUV9ORVdTIgdJUV9ORVdTAgAAAAEyATIAAAAAAwAAAAAAAAAGIlBMVFIiBFBMVFIBAAAACSJJUV9ORVdTIgdJUV9ORVdTAgAAAAEzATMAAAAAAwAAAAAAAAAGIlBMVFIiBFBMVFIBAAAACSJJUV9ORVdTIgdJUV9ORVdTAgAAAAE0ATSxGVH88QrfCLEZUfzxCt8IJ0NJUVJBTkdFLlBMVFIuSVFfTkVXUy4xLjI1Li4uLi5ORVdTIFVSTAMAAABl+pgCBAAAAAAAAAADAAAAAAAAAAYiUExUUiIEUExUUgEAAAAJIklRX05FV1MiB0lRX05FV1MCAAAAATEBMQAAAAADAAAAAAAAAAYiUExUUiIEUExUUgEAAAAJIklRX05FV1Mi</t>
        </is>
      </c>
      <c r="AL1" t="inlineStr">
        <is>
          <t>B0lRX05FV1MCAAAAATIBMgAAAAADAAAAAAAAAAYiUExUUiIEUExUUgEAAAAJIklRX05FV1MiB0lRX05FV1MCAAAAATMBMwAAAAADAAAAAAAAAAYiUExUUiIEUExUUgEAAAAJIklRX05FV1MiB0lRX05FV1MCAAAAATQBNLEZUfzxCt8IsRlR/PEK3wgcQ0lRLlBMVFIuSVFfRElMVVRfV0VJR0hULjk5NwEAAABl+pgCAgAAAAgyMDYzLjc5MwCxGVH88QrfCCw2cvzxCt8IHENJUS5QTFRSLklRX0RJTFVUX1dFSUdIVC45OTgBAAAAZfqYAgIAAAAIMjI5Ny45MjcAsRlR/PEK3wgsNnL88QrfCBxDSVEuUExUUi5JUV9ESUxVVF9XRUlHSFQuOTk5AQAAAGX6mAICAAAACDI0NTAuODE4ALEZUfzxCt8ILDZy/PEK3wgdQ0lRLlBMVFIuSVFfRElMVVRfV0VJR0hULjEwMDABAAAAZfqYAgIAAAAIMjU2NS4xOTcAsRlR/PEK3wgsNnL88QrfCB1DSVEuUExUUi5JUV9ESUxVVF9XRUlHSFQuMjAwMAEAAABl+pgCAgAAAAkyNTcxLjE1NDUAsRlR/PEK3wgsNnL88QrfCBxDSVEuUExUUi5JUV9UT1RBTF9BU1NFVFMuOTk4AQAAAGX6mAICAAAACDQ1MjIuNDI1AQgAAAAFAAAAATEBAAAACy0xOTA2MTI1NDAzAwAAAAMxNjACAAAABDEwMDcEAAAAATAHAAAACDkvNC8yMDI2CAAAAAoxMi8zMS8yMDIzCQAAAAEwsRlR/PEK3wgsNnL88QrfCBxDSVEuUExUUi5JUV9UT1RBTF9BU1NFVFMuOTk5AQAAAGX6mAICAAAACDYzNDAuODg0AQgA</t>
        </is>
      </c>
      <c r="AM1" t="inlineStr">
        <is>
          <t>AAAFAAAAATEBAAAACy0xOTA2MTI1Mzg4AwAAAAMxNjACAAAABDEwMDcEAAAAATAHAAAACDkvNC8yMDI2CAAAAAoxMi8zMS8yMDI0CQAAAAEwsRlR/PEK3wgsNnL88QrfCB1DSVEuUExUUi5JUV9UT1RBTF9BU1NFVFMuMTAwMAEAAABl+pgCAgAAAAg4OTAwLjM5MgEIAAAABQAAAAExAQAAAAstMTkwNjEyNTM5MgMAAAADMTYwAgAAAAQxMDA3BAAAAAEwBwAAAAg5LzQvMjAyNggAAAAKMTIvMzEvMjAyNQkAAAABMLEZUfzxCt8ILDZy/PEK3wgdQ0lRLlBMVFIuSVFfVE9UQUxfQVNTRVRTLjIwMDABAAAAZfqYAgIAAAAJMTE2NzguNTY0AQgAAAAFAAAAATEBAAAACy0xODc5MjI4Njk5AwAAAAMxNjACAAAABDEwMDcEAAAAATAHAAAACDkvNC8yMDI2CAAAAAk2LzMwLzIwMjYJAAAAATCxGVH88QrfCCw2cvzxCt8IHENJUS5QTFRSLklRX0RJTFVUX1dFSUdIVC45OTYBAAAAZfqYAgIAAAAIMTkyMy42MTcAsRlR/PEK3wgsNnL88QrfCBxDSVEuUExUUi5JUV9UT1RBTF9FUVVJVFkuOTk5AQAAAGX6mAICAAAACDUwOTQuNDA3AQgAAAAFAAAAATEBAAAACy0xOTA2MTI1Mzg4AwAAAAMxNjACAAAABDEyNzUEAAAAATAHAAAACDkvNC8yMDI2CAAAAAoxMi8zMS8yMDI0CQAAAAEwukBR/PEK3wgsNnL88QrfCB1DSVEuUExUUi5JUV9UT1RBTF9FUVVJVFkuMTAwMAEAAABl+pgCAgAAAAg3NDg4LjAxMQEIAAAABQAAAAExAQAA</t>
        </is>
      </c>
      <c r="AN1" t="inlineStr">
        <is>
          <t>AAstMTkwNjEyNTM5MgMAAAADMTYwAgAAAAQxMjc1BAAAAAEwBwAAAAg5LzQvMjAyNggAAAAKMTIvMzEvMjAyNQkAAAABMLpAUfzxCt8ILDZy/PEK3wgdQ0lRLlBMVFIuSVFfVE9UQUxfRVFVSVRZLjIwMDABAAAAZfqYAgIAAAAIOTg4NC44ODQBCAAAAAUAAAABMQEAAAALLTE4NzkyMjg2OTkDAAAAAzE2MAIAAAAEMTI3NQQAAAABMAcAAAAIOS80LzIwMjYIAAAACTYvMzAvMjAyNgkAAAABMLpAUfzxCt8ILDZy/PEK3wgcQ0lRLlBMVFIuSVFfVE9UQUxfQVNTRVRTLjk5NgEAAABl+pgCAgAAAAczMjQ3LjQ1AQgAAAAFAAAAATEBAAAACy0yMDA5NTg2MzEzAwAAAAMxNjACAAAABDEwMDcEAAAAATAHAAAACDkvNC8yMDI2CAAAAAoxMi8zMS8yMDIxCQAAAAEwukBR/PEK3wgsNnL88QrfCBxDSVEuUExUUi5JUV9UT1RBTF9BU1NFVFMuOTk3AQAAAGX6mAICAAAACDM0NjEuMjM5AQgAAAAFAAAAATEBAAAACy0xOTU5MjYyMDcyAwAAAAMxNjACAAAABDEwMDcEAAAAATAHAAAACDkvNC8yMDI2CAAAAAoxMi8zMS8yMDIyCQAAAAEwukBR/PEK3wgsNnL88QrfCBtDSVEuUExUUi5JUV9UT1RBTF9ERUJULjEwMDABAAAAZfqYAgIAAAAHMjI5LjMzOAEIAAAABQAAAAExAQAAAAstMTkwNjEyNTM5MgMAAAADMTYwAgAAAAQ0MTczBAAAAAEwBwAAAAg5LzQvMjAyNggAAAAKMTIvMzEvMjAyNQkAAAABMLpAUfzxCt8ILDZy/PEK</t>
        </is>
      </c>
      <c r="AO1" t="inlineStr">
        <is>
          <t>3wgbQ0lRLlBMVFIuSVFfVE9UQUxfREVCVC4yMDAwAQAAAGX6mAICAAAABTIxMS40AQgAAAAFAAAAATEBAAAACy0xODc5MjI4Njk5AwAAAAMxNjACAAAABDQxNzMEAAAAATAHAAAACDkvNC8yMDI2CAAAAAk2LzMwLzIwMjYJAAAAATC6QFH88QrfCCw2cvzxCt8IHENJUS5QTFRSLklRX1RPVEFMX0VRVUlUWS45OTYBAAAAZfqYAgIAAAAHMjI5MS4wMwEIAAAABQAAAAExAQAAAAstMjAwOTU4NjMxMwMAAAADMTYwAgAAAAQxMjc1BAAAAAEwBwAAAAg5LzQvMjAyNggAAAAKMTIvMzEvMjAyMQkAAAABMLpAUfzxCt8ILDZy/PEK3wgcQ0lRLlBMVFIuSVFfVE9UQUxfRVFVSVRZLjk5NwEAAABl+pgCAgAAAAgyNjQyLjQzNwEIAAAABQAAAAExAQAAAAstMTk1OTI2MjA3MgMAAAADMTYwAgAAAAQxMjc1BAAAAAEwBwAAAAg5LzQvMjAyNggAAAAKMTIvMzEvMjAyMgkAAAABMLpAUfzxCt8ILDZy/PEK3wgcQ0lRLlBMVFIuSVFfVE9UQUxfRVFVSVRZLjk5OAEAAABl+pgCAgAAAAgzNTYwLjk2NQEIAAAABQAAAAExAQAAAAstMTkwNjEyNTQwMwMAAAADMTYwAgAAAAQxMjc1BAAAAAEwBwAAAAg5LzQvMjAyNggAAAAKMTIvMzEvMjAyMwkAAAABMLpAUfzxCt8ILDZy/PEK3wgfQ0lRLlBMVFIuSVFfQ0FTSF9TVF9JTlZFU1QuMjAwMAEAAABl+pgCAgAAAAg5NDA5LjA5OQEIAAAABQAAAAExAQAAAAstMTg3OTIyODY5OQMAAAAD</t>
        </is>
      </c>
      <c r="AP1" t="inlineStr">
        <is>
          <t>MTYwAgAAAAQxMDAyBAAAAAEwBwAAAAg5LzQvMjAyNggAAAAJNi8zMC8yMDI2CQAAAAEwukBR/PEK3wgsNnL88QrfCBpDSVEuUExUUi5JUV9UT1RBTF9ERUJULjk5NgEAAABl+pgCAgAAAAcyNjAuMDczAQgAAAAFAAAAATEBAAAACy0yMDA5NTg2MzEzAwAAAAMxNjACAAAABDQxNzMEAAAAATAHAAAACDkvNC8yMDI2CAAAAAoxMi8zMS8yMDIxCQAAAAEwukBR/PEK3wgsNnL88QrfCBpDSVEuUExUUi5JUV9UT1RBTF9ERUJULjk5NwEAAABl+pgCAgAAAAcyNDkuNDA0AQgAAAAFAAAAATEBAAAACy0xOTU5MjYyMDcyAwAAAAMxNjACAAAABDQxNzMEAAAAATAHAAAACDkvNC8yMDI2CAAAAAoxMi8zMS8yMDIyCQAAAAEwukBR/PEK3wgsNnL88QrfCBpDSVEuUExUUi5JUV9UT1RBTF9ERUJULjk5OAEAAABl+pgCAgAAAAcyMjkuMzkyAQgAAAAFAAAAATEBAAAACy0xOTA2MTI1NDAzAwAAAAMxNjACAAAABDQxNzMEAAAAATAHAAAACDkvNC8yMDI2CAAAAAoxMi8zMS8yMDIzCQAAAAEwukBR/PEK3wgsNnL88QrfCBpDSVEuUExUUi5JUV9UT1RBTF9ERUJULjk5OQEAAABl+pgCAgAAAAcyMzkuMjE5AQgAAAAFAAAAATEBAAAACy0xOTA2MTI1Mzg4AwAAAAMxNjACAAAABDQxNzMEAAAAATAHAAAACDkvNC8yMDI2CAAAAAoxMi8zMS8yMDI0CQAAAAEwukBR/PEK3wgsNnL88QrfCB5DSVEuUExUUi5JUV9DQVNIX1NUX0lOVkVT</t>
        </is>
      </c>
      <c r="AQ1" t="inlineStr">
        <is>
          <t>VC45OTYBAAAAZfqYAgIAAAAIMjUyNC44MjcBCAAAAAUAAAABMQEAAAALLTIwMDk1ODYzMTMDAAAAAzE2MAIAAAAEMTAwMgQAAAABMAcAAAAIOS80LzIwMjYIAAAACjEyLzMxLzIwMjEJAAAAATC6QFH88QrfCNEPcvzxCt8IHkNJUS5QTFRSLklRX0NBU0hfU1RfSU5WRVNULjk5NwEAAABl+pgCAgAAAAgyNjMzLjY3NQEIAAAABQAAAAExAQAAAAstMTk1OTI2MjA3MgMAAAADMTYwAgAAAAQxMDAyBAAAAAEwBwAAAAg5LzQvMjAyNggAAAAKMTIvMzEvMjAyMgkAAAABMLpAUfzxCt8ILDZy/PEK3wgeQ0lRLlBMVFIuSVFfQ0FTSF9TVF9JTlZFU1QuOTk4AQAAAGX6mAICAAAACDM2NzQuMTc5AQgAAAAFAAAAATEBAAAACy0xOTA2MTI1NDAzAwAAAAMxNjACAAAABDEwMDIEAAAAATAHAAAACDkvNC8yMDI2CAAAAAoxMi8zMS8yMDIzCQAAAAEwukBR/PEK3wgsNnL88QrfCB5DSVEuUExUUi5JUV9DQVNIX1NUX0lOVkVTVC45OTkBAAAAZfqYAgIAAAAINTIyOS45ODcBCAAAAAUAAAABMQEAAAALLTE5MDYxMjUzODgDAAAAAzE2MAIAAAAEMTAwMgQAAAABMAcAAAAIOS80LzIwMjYIAAAACjEyLzMxLzIwMjQJAAAAATC6QFH88QrfCCw2cvzxCt8IH0NJUS5QTFRSLklRX0NBU0hfU1RfSU5WRVNULjEwMDABAAAAZfqYAgIAAAAINzE3Ny4wNDMBCAAAAAUAAAABMQEAAAALLTE5MDYxMjUzOTIDAAAAAzE2MAIAAAAEMTAwMgQA</t>
        </is>
      </c>
      <c r="AR1" t="inlineStr">
        <is>
          <t>AAABMAcAAAAIOS80LzIwMjYIAAAACjEyLzMxLzIwMjUJAAAAATC6QFH88QrfCCw2cvzxCt8IGkNJUS5QTFRSLklRX0NPTU1PTl9SRVAuOTk3AQAAAGX6mAIDAAAAAAC6QFH88QrfCNEPcvzxCt8IGkNJUS5QTFRSLklRX0NPTU1PTl9SRVAuOTk4AQAAAGX6mAIDAAAAAAC6QFH88QrfCNEPcvzxCt8IGkNJUS5QTFRSLklRX0NPTU1PTl9SRVAuOTk5AQAAAGX6mAICAAAACC0yODIuNDc2AQgAAAAFAAAAATEBAAAACy0xOTA2MTI1Mzg4AwAAAAMxNjACAAAABDIxNjQEAAAAATAHAAAACDkvNC8yMDI2CAAAAAoxMi8zMS8yMDI0CQAAAAEwukBR/PEK3wjRD3L88QrfCBtDSVEuUExUUi5JUV9DT01NT05fUkVQLjEwMDABAAAAZfqYAgIAAAAILTE1Ni4xMDIBCAAAAAUAAAABMQEAAAALLTE5MDYxMjUzOTIDAAAAAzE2MAIAAAAEMjE2NAQAAAABMAcAAAAIOS80LzIwMjYIAAAACjEyLzMxLzIwMjUJAAAAATC6QFH88QrfCNEPcvzxCt8IG0NJUS5QTFRSLklRX0NPTU1PTl9SRVAuMjAwMAEAAABl+pgCAgAAAAgtMTU2LjEwMgEIAAAABQAAAAExAQAAAAstMTg3OTIyODY5OQMAAAADMTYwAgAAAAQyMTY0BAAAAAEwBwAAAAg5LzQvMjAyNggAAAAJNi8zMC8yMDI2CQAAAAEwukBR/PEK3whRPnIE8grfCCFDSVEuUExUUi5JUV9UT1RBTF9ESVZfUEFJRF9DRi45OTgBAAAAZfqYAgMAAAAAALpAUfzxCt8I0Q9y/PEK3wghQ0lR</t>
        </is>
      </c>
      <c r="AS1" t="inlineStr">
        <is>
          <t>LlBMVFIuSVFfVE9UQUxfRElWX1BBSURfQ0YuOTk5AQAAAGX6mAIDAAAAAAC6QFH88QrfCNEPcvzxCt8IIkNJUS5QTFRSLklRX1RPVEFMX0RJVl9QQUlEX0NGLjEwMDABAAAAZfqYAgMAAAAAALpAUfzxCt8I0Q9y/PEK3wgiQ0lRLlBMVFIuSVFfVE9UQUxfRElWX1BBSURfQ0YuMjAwMAEAAABl+pgCAwAAAAAAukBR/PEK3wjRD3L88QrfCBpDSVEuUExUUi5JUV9DT01NT05fUkVQLjk5NgEAAABl+pgCAwAAAAAAukBR/PEK3wjRD3L88QrfCB5DSVEuUExUUi5JUV9TVE9DS19CQVNFRF9DRi45OTkBAAAAZfqYAgIAAAAHNjkxLjYzOAEIAAAABQAAAAExAQAAAAstMTkwNjEyNTM4OAMAAAADMTYwAgAAAAQyMTI3BAAAAAEwBwAAAAg5LzQvMjAyNggAAAAKMTIvMzEvMjAyNAkAAAABMLpAUfzxCt8I0Q9y/PEK3wgfQ0lRLlBMVFIuSVFfU1RPQ0tfQkFTRURfQ0YuMTAwMAEAAABl+pgCAgAAAAc2ODQuMDMzAQgAAAAFAAAAATEBAAAACy0xOTA2MTI1MzkyAwAAAAMxNjACAAAABDIxMjcEAAAAATAHAAAACDkvNC8yMDI2CAAAAAoxMi8zMS8yMDI1CQAAAAEwukBR/PEK3wjRD3L88QrfCB9DSVEuUExUUi5JUV9TVE9DS19CQVNFRF9DRi4yMDAwAQAAAGX6mAICAAAABzgzNS41MjQBCAAAAAUAAAABMQEAAAALLTE4NzkyMjg2OTkDAAAAAzE2MAIAAAAEMjEyNwQAAAABMAcAAAAIOS80LzIwMjYIAAAACTYvMzAvMjAyNgkA</t>
        </is>
      </c>
      <c r="AT1" t="inlineStr">
        <is>
          <t>AAABMLpAUfzxCt8I0Q9y/PEK3wghQ0lRLlBMVFIuSVFfVE9UQUxfRElWX1BBSURfQ0YuOTk2AQAAAGX6mAIDAAAAAAC6QFH88QrfCNEPcvzxCt8IIUNJUS5QTFRSLklRX1RPVEFMX0RJVl9QQUlEX0NGLjk5NwEAAABl+pgCAwAAAAAAukBR/PEK3wjRD3L88QrfCBZDSVEuUExUUi5JUV9DQVBFWC4xMDAwAQAAAGX6mAICAAAABy0zMy44ODIBCAAAAAUAAAABMQEAAAALLTE5MDYxMjUzOTIDAAAAAzE2MAIAAAAEMjAyMQQAAAABMAcAAAAIOS80LzIwMjYIAAAACjEyLzMxLzIwMjUJAAAAATC6QFH88QrfCNEPcvzxCt8IFkNJUS5QTFRSLklRX0NBUEVYLjIwMDABAAAAZfqYAgIAAAAHLTQyLjAxOQEIAAAABQAAAAExAQAAAAstMTg3OTIyODY5OQMAAAADMTYwAgAAAAQyMDIxBAAAAAEwBwAAAAg5LzQvMjAyNggAAAAJNi8zMC8yMDI2CQAAAAEwukBR/PEK3wjRD3L88QrfCB5DSVEuUExUUi5JUV9TVE9DS19CQVNFRF9DRi45OTYBAAAAZfqYAgIAAAAHNzc4LjIxNQEIAAAABQAAAAExAQAAAAstMjAwOTU4NjMxMwMAAAADMTYwAgAAAAQyMTI3BAAAAAEwBwAAAAg5LzQvMjAyNggAAAAKMTIvMzEvMjAyMQkAAAABMLpAUfzxCt8I0Q9y/PEK3wgeQ0lRLlBMVFIuSVFfU1RPQ0tfQkFTRURfQ0YuOTk3AQAAAGX6mAICAAAABzU2NC43OTgBCAAAAAUAAAABMQEAAAALLTE5NTkyNjIwNzIDAAAAAzE2MAIAAAAEMjEyNwQA</t>
        </is>
      </c>
      <c r="AU1" t="inlineStr">
        <is>
          <t>AAABMAcAAAAIOS80LzIwMjYIAAAACjEyLzMxLzIwMjIJAAAAATC6QFH88QrfCNEPcvzxCt8IHkNJUS5QTFRSLklRX1NUT0NLX0JBU0VEX0NGLjk5OAEAAABl+pgCAgAAAAc0NzUuOTAzAQgAAAAFAAAAATEBAAAACy0xOTA2MTI1NDAzAwAAAAMxNjACAAAABDIxMjcEAAAAATAHAAAACDkvNC8yMDI2CAAAAAoxMi8zMS8yMDIzCQAAAAEwukBR/PEK3wjRD3L88QrfCBVDSVEuUExUUi5JUV9DQVBFWC45OTYBAAAAZfqYAgIAAAAHLTEyLjYyNwEIAAAABQAAAAExAQAAAAstMjAwOTU4NjMxMwMAAAADMTYwAgAAAAQyMDIxBAAAAAEwBwAAAAg5LzQvMjAyNggAAAAKMTIvMzEvMjAyMQkAAAABMLpAUfzxCt8I0Q9y/PEK3wgVQ0lRLlBMVFIuSVFfQ0FQRVguOTk3AQAAAGX6mAICAAAABy00MC4wMjcBCAAAAAUAAAABMQEAAAALLTE5NTkyNjIwNzIDAAAAAzE2MAIAAAAEMjAyMQQAAAABMAcAAAAIOS80LzIwMjYIAAAACjEyLzMxLzIwMjIJAAAAATC6QFH88QrfCNEPcvzxCt8IFUNJUS5QTFRSLklRX0NBUEVYLjk5OAEAAABl+pgCAgAAAActMTUuMTE0AQgAAAAFAAAAATEBAAAACy0xOTA2MTI1NDAzAwAAAAMxNjACAAAABDIwMjEEAAAAATAHAAAACDkvNC8yMDI2CAAAAAoxMi8zMS8yMDIzCQAAAAEwukBR/PEK3wjRD3L88QrfCBVDSVEuUExUUi5JUV9DQVBFWC45OTkBAAAAZfqYAgIAAAAHLTEyLjYzNAEIAAAABQAA</t>
        </is>
      </c>
      <c r="AV1" t="inlineStr">
        <is>
          <t>AAExAQAAAAstMTkwNjEyNTM4OAMAAAADMTYwAgAAAAQyMDIxBAAAAAEwBwAAAAg5LzQvMjAyNggAAAAKMTIvMzEvMjAyNAkAAAABMLpAUfzxCt8I0Q9y/PEK3wgSQ0lRLlBMVFIuSVFfTkkuOTk3AQAAAGX6mAICAAAACC0zNzMuNzA1AQgAAAAFAAAAATEBAAAACy0xOTU5MjYyMDcyAwAAAAMxNjACAAAAAjE1BAAAAAEwBwAAAAg5LzQvMjAyNggAAAAKMTIvMzEvMjAyMgkAAAABMLpAUfzxCt8I0Q9y/PEK3wgSQ0lRLlBMVFIuSVFfTkkuOTk4AQAAAGX6mAICAAAABzIwOS44MjUBCAAAAAUAAAABMQEAAAALLTE5MDYxMjU0MDMDAAAAAzE2MAIAAAACMTUEAAAAATAHAAAACDkvNC8yMDI2CAAAAAoxMi8zMS8yMDIzCQAAAAEwukBR/PEK3wjRD3L88QrfCBJDSVEuUExUUi5JUV9OSS45OTkBAAAAZfqYAgIAAAAGNDYyLjE5AQgAAAAFAAAAATEBAAAACy0xOTA2MTI1Mzg4AwAAAAMxNjACAAAAAjE1BAAAAAEwBwAAAAg5LzQvMjAyNggAAAAKMTIvMzEvMjAyNAkAAAABMLpAUfzxCt8I0Q9y/PEK3wgTQ0lRLlBMVFIuSVFfTkkuMTAwMAEAAABl+pgCAgAAAAgxNjI1LjAzMwEIAAAABQAAAAExAQAAAAstMTkwNjEyNTM5MgMAAAADMTYwAgAAAAIxNQQAAAABMAcAAAAIOS80LzIwMjYIAAAACjEyLzMxLzIwMjUJAAAAATC6QFH88QrfCNEPcvzxCt8IE0NJUS5QTFRSLklRX05JLjIwMDABAAAAZfqYAgIAAAAIMzAxNi42</t>
        </is>
      </c>
      <c r="AW1" t="inlineStr">
        <is>
          <t>OTIBCAAAAAUAAAABMQEAAAALLTE4NzkyMjg2OTkDAAAAAzE2MAIAAAACMTUEAAAAATAHAAAACDkvNC8yMDI2CAAAAAk2LzMwLzIwMjYJAAAAATC6QFH88QrfCNEPcvzxCt8IFkNJUS5QTFRSLklRX0VCSVREQS45OTgBAAAAZfqYAgIAAAAGMTUzLjMyAQgAAAAFAAAAATEBAAAACy0xOTA2MTI1NDAzAwAAAAMxNjACAAAABDQwNTEEAAAAATAHAAAACDkvNC8yMDI2CAAAAAoxMi8zMS8yMDIzCQAAAAEwukBR/PEK3wjRD3L88QrfCBZDSVEuUExUUi5JUV9FQklUREEuOTk5AQAAAGX6mAICAAAABjM0MS45OQEIAAAABQAAAAExAQAAAAstMTkwNjEyNTM4OAMAAAADMTYwAgAAAAQ0MDUxBAAAAAEwBwAAAAg5LzQvMjAyNggAAAAKMTIvMzEvMjAyNAkAAAABMLpAUfzxCt8I0Q9y/PEK3wgXQ0lRLlBMVFIuSVFfRUJJVERBLjEwMDABAAAAZfqYAgIAAAAHMTQ0MC4xNgEIAAAABQAAAAExAQAAAAstMTkwNjEyNTM5MgMAAAADMTYwAgAAAAQ0MDUxBAAAAAEwBwAAAAg5LzQvMjAyNggAAAAKMTIvMzEvMjAyNQkAAAABMLpAUfzxCt8I0Q9y/PEK3wgXQ0lRLlBMVFIuSVFfRUJJVERBLjIwMDABAAAAZfqYAgIAAAAHMjY2Mi42MwEIAAAABQAAAAExAQAAAAstMTg3OTIyODY5OQMAAAADMTYwAgAAAAQ0MDUxBAAAAAEwBwAAAAg5LzQvMjAyNggAAAAJNi8zMC8yMDI2CQAAAAEwukBR/PEK3whRPnIE8grfCBJDSVEuUExUUi5J</t>
        </is>
      </c>
      <c r="AX1" t="inlineStr">
        <is>
          <t>UV9OSS45OTYBAAAAZfqYAgIAAAAILTUyMC4zNzkBCAAAAAUAAAABMQEAAAALLTIwMDk1ODYzMTMDAAAAAzE2MAIAAAACMTUEAAAAATAHAAAACDkvNC8yMDI2CAAAAAoxMi8zMS8yMDIxCQAAAAEwukBR/PEK3wjRD3L88QrfCBhDSVEuUExUUi5JUV9PUEVSX0lOQy45OTkBAAAAZfqYAgIAAAAHMzEwLjQwMwEIAAAABQAAAAExAQAAAAstMTkwNjEyNTM4OAMAAAADMTYwAgAAAAIyMQQAAAABMAcAAAAIOS80LzIwMjYIAAAACjEyLzMxLzIwMjQJAAAAATC6QFH88QrfCNEPcvzxCt8IGUNJUS5QTFRSLklRX09QRVJfSU5DLjEwMDABAAAAZfqYAgIAAAAIMTQxNC4wMTUBCAAAAAUAAAABMQEAAAALLTE5MDYxMjUzOTIDAAAAAzE2MAIAAAACMjEEAAAAATAHAAAACDkvNC8yMDI2CAAAAAoxMi8zMS8yMDI1CQAAAAEwukBR/PEK3wjRD3L88QrfCBlDSVEuUExUUi5JUV9PUEVSX0lOQy4yMDAwAQAAAGX6mAICAAAACDI2MzQuNjUyAQgAAAAFAAAAATEBAAAACy0xODc5MjI4Njk5AwAAAAMxNjACAAAAAjIxBAAAAAEwBwAAAAg5LzQvMjAyNggAAAAJNi8zMC8yMDI2CQAAAAEwukBR/PEK3wjRD3L88QrfCBZDSVEuUExUUi5JUV9FQklUREEuOTk2AQAAAGX6mAICAAAACC0zOTYuMTQ5AQgAAAAFAAAAATEBAAAACy0yMDA5NTg2MzEzAwAAAAMxNjACAAAABDQwNTEEAAAAATAHAAAACDkvNC8yMDI2CAAAAAoxMi8zMS8yMDIx</t>
        </is>
      </c>
      <c r="AY1" t="inlineStr">
        <is>
          <t>CQAAAAEwukBR/PEK3wjRD3L88QrfCBZDSVEuUExUUi5JUV9FQklUREEuOTk3AQAAAGX6mAICAAAACC0xMzguNjc5AQgAAAAFAAAAATEBAAAACy0xOTU5MjYyMDcyAwAAAAMxNjACAAAABDQwNTEEAAAAATAHAAAACDkvNC8yMDI2CAAAAAoxMi8zMS8yMDIyCQAAAAEwukBR/PEK3wjRD3L88QrfCBNDSVEuUExUUi5JUV9HUC4xMDAwAQAAAGX6mAICAAAACDM2ODYuMjY5AQgAAAAFAAAAATEBAAAACy0xOTA2MTI1MzkyAwAAAAMxNjACAAAAAjEwBAAAAAEwBwAAAAg5LzQvMjAyNggAAAAKMTIvMzEvMjAyNQkAAAABMLpAUfzxCt8I0Q9y/PEK3wgTQ0lRLlBMVFIuSVFfR1AuMjAwMAEAAABl+pgCAgAAAAQ1MjIwAQgAAAAFAAAAATEBAAAACy0xODc5MjI4Njk5AwAAAAMxNjACAAAAAjEwBAAAAAEwBwAAAAg5LzQvMjAyNggAAAAJNi8zMC8yMDI2CQAAAAEwukBR/PEK3wjRD3L88QrfCBhDSVEuUExUUi5JUV9PUEVSX0lOQy45OTYBAAAAZfqYAgIAAAAILTQxMS4wNDYBCAAAAAUAAAABMQEAAAALLTIwMDk1ODYzMTMDAAAAAzE2MAIAAAACMjEEAAAAATAHAAAACDkvNC8yMDI2CAAAAAoxMi8zMS8yMDIxCQAAAAEwukBR/PEK3wjRD3L88QrfCBhDSVEuUExUUi5JUV9PUEVSX0lOQy45OTcBAAAAZfqYAgIAAAAILTE2MS4yMDEBCAAAAAUAAAABMQEAAAALLTE5NTkyNjIwNzIDAAAAAzE2MAIAAAACMjEEAAAAATAHAAAA</t>
        </is>
      </c>
      <c r="AZ1" t="inlineStr">
        <is>
          <t>CDkvNC8yMDI2CAAAAAoxMi8zMS8yMDIyCQAAAAEwukBR/PEK3wjRD3L88QrfCBhDSVEuUExUUi5JUV9PUEVSX0lOQy45OTgBAAAAZfqYAgIAAAAHMTE5Ljk2NgEIAAAABQAAAAExAQAAAAstMTkwNjEyNTQwMwMAAAADMTYwAgAAAAIyMQQAAAABMAcAAAAIOS80LzIwMjYIAAAACjEyLzMxLzIwMjMJAAAAATC6QFH88QrfCNEPcvzxCt8IGkNJUS5QTFRSLklRX1RPVEFMX1JFVi4yMDAwAQAAAGX6mAICAAAACDYxNTUuOTQxAQgAAAAFAAAAATEBAAAACy0xODc5MjI4Njk5AwAAAAMxNjACAAAAAjI4BAAAAAEwBwAAAAg5LzQvMjAyNggAAAAJNi8zMC8yMDI2CQAAAAEwukBR/PEK3wjRD3L88QrfCBJDSVEuUExUUi5JUV9HUC45OTYBAAAAZfqYAgIAAAAIMTIwMi40ODUBCAAAAAUAAAABMQEAAAALLTIwMDk1ODYzMTMDAAAAAzE2MAIAAAACMTAEAAAAATAHAAAACDkvNC8yMDI2CAAAAAoxMi8zMS8yMDIxCQAAAAEwukBR/PEK3wjRD3L88QrfCBJDSVEuUExUUi5JUV9HUC45OTcBAAAAZfqYAgIAAAAIMTQ5Ny4zMjIBCAAAAAUAAAABMQEAAAALLTE5NTkyNjIwNzIDAAAAAzE2MAIAAAACMTAEAAAAATAHAAAACDkvNC8yMDI2CAAAAAoxMi8zMS8yMDIyCQAAAAEwukBR/PEK3wjRD3L88QrfCBJDSVEuUExUUi5JUV9HUC45OTgBAAAAZfqYAgIAAAAIMTc5My45MDcBCAAAAAUAAAABMQEAAAALLTE5MDYxMjU0MDMDAAAA</t>
        </is>
      </c>
      <c r="BA1" t="inlineStr">
        <is>
          <t>AzE2MAIAAAACMTAEAAAAATAHAAAACDkvNC8yMDI2CAAAAAoxMi8zMS8yMDIzCQAAAAEwukBR/PEK3wjRD3L88QrfCBJDSVEuUExUUi5JUV9HUC45OTkBAAAAZfqYAgIAAAAIMjI5OS41MTcBCAAAAAUAAAABMQEAAAALLTE5MDYxMjUzODgDAAAAAzE2MAIAAAACMTAEAAAAATAHAAAACDkvNC8yMDI2CAAAAAoxMi8zMS8yMDI0CQAAAAEwukBR/PEK3wjRD3L88QrfCBlDSVEuUExUUi5JUV9UT1RBTF9SRVYuOTk2AQAAAGX6mAICAAAACDE1NDEuODg5AQgAAAAFAAAAATEBAAAACy0yMDA5NTg2MzEzAwAAAAMxNjACAAAAAjI4BAAAAAEwBwAAAAg5LzQvMjAyNggAAAAKMTIvMzEvMjAyMQkAAAABMLpAUfzxCt8ISuhx/PEK3wgZQ0lRLlBMVFIuSVFfVE9UQUxfUkVWLjk5NwEAAABl+pgCAgAAAAgxOTA1Ljg3MQEIAAAABQAAAAExAQAAAAstMTk1OTI2MjA3MgMAAAADMTYwAgAAAAIyOAQAAAABMAcAAAAIOS80LzIwMjYIAAAACjEyLzMxLzIwMjIJAAAAATC6QFH88QrfCNEPcvzxCt8IGUNJUS5QTFRSLklRX1RPVEFMX1JFVi45OTgBAAAAZfqYAgIAAAAIMjIyNS4wMTIBCAAAAAUAAAABMQEAAAALLTE5MDYxMjU0MDMDAAAAAzE2MAIAAAACMjgEAAAAATAHAAAACDkvNC8yMDI2CAAAAAoxMi8zMS8yMDIzCQAAAAEwukBR/PEK3wjRD3L88QrfCBlDSVEuUExUUi5JUV9UT1RBTF9SRVYuOTk5AQAAAGX6mAICAAAACDI4</t>
        </is>
      </c>
      <c r="BB1" t="inlineStr">
        <is>
          <t>NjUuNTA3AQgAAAAFAAAAATEBAAAACy0xOTA2MTI1Mzg4AwAAAAMxNjACAAAAAjI4BAAAAAEwBwAAAAg5LzQvMjAyNggAAAAKMTIvMzEvMjAyNAkAAAABMLpAUfzxCt8I0Q9y/PEK3wgaQ0lRLlBMVFIuSVFfVE9UQUxfUkVWLjEwMDABAAAAZfqYAgIAAAAINDQ3NS40NDYBCAAAAAUAAAABMQEAAAALLTE5MDYxMjUzOTIDAAAAAzE2MAIAAAACMjgEAAAAATAHAAAACDkvNC8yMDI2CAAAAAoxMi8zMS8yMDI1CQAAAAEwukBR/PEK3wjRD3L88QrfCCVDSVEuUExUUi5JUV9TSE9SVF9JTlRFUkVTVF9PVkVSX0ZMT0FUAQAAAGX6mAICAAAABTMuMjM2ALpAUfzxCt8ISuhx/PEK3wgfQ0lRLlBMVFIuSVFfQ1VSUkVOVF9SQVRJTy4xMDAwMAEAAABl+pgCAgAAAAg3LjEwOTgyMwEIAAAABQAAAAExAQAAAAstMTkwNjEyNDI1OAMAAAADMTYwAgAAAAQ0MDMwBAAAAAEwBwAAAAg5LzQvMjAyNggAAAAKMTIvMzEvMjAyNQkAAAABMLpAUfzxCt8ISuhx/PEK3wgdQ0lRLlBMVFIuSVFfUVVJQ0tfUkFUSU8uMTAwMDABAAAAZfqYAgIAAAAINi45OTE1MjgBCAAAAAUAAAABMQEAAAALLTE5MDYxMjQyNTgDAAAAAzE2MAIAAAAENDEyMQQAAAABMAcAAAAIOS80LzIwMjYIAAAACjEyLzMxLzIwMjUJAAAAATC6QFH88QrfCErocfzxCt8IGUNJUS5QTFRSLklRX0VCSVRfSU5ULjIwMDABAAAAZfqYAgMAAAAAALpAUfzxCt8ISuhx/PEK</t>
        </is>
      </c>
      <c r="BC1" t="inlineStr">
        <is>
          <t>3wgZQ0lRLlBMVFIuSVFfR1dfSU5UQU4uNTAwMAEAAABl+pgCAwAAAAAAukBR/PEK3whK6HH88QrfCBpDSVEuUExUUi5JUV9UQlZfU0hBUkUuNTAwMAEAAABl+pgCAgAAAAg0LjA2NzY3MQEIAAAABQAAAAExAQAAAAstMTg3OTIzNDg3NAMAAAADMTYwAgAAAAQ0MTU2BAAAAAEwBwAAAAg5LzQvMjAyNggAAAAJNi8zMC8yMDI2CQAAAAEwukBR/PEK3whK6HH88QrfCCJDSVEuUExUUi5JUV9UT1RBTF9ERUJUX0VRVUlUWS41MDAwAQAAAGX6mAICAAAABjIuMTM4NgEIAAAABQAAAAExAQAAAAstMTg3OTIzNDg3NAMAAAADMTYwAgAAAAQ0MDM0BAAAAAEwBwAAAAg5LzQvMjAyNggAAAAJNi8zMC8yMDI2CQAAAAEwukBR/PEK3whK6HH88QrfCCBDSVEuUExUUi5JUV9DQVNIX09QRVIuLjA1LVNFUC0yNgEAAABl+pgCAgAAAAgzNDAwLjI5MQEIAAAABQAAAAExAQAAAAstMTg3OTIyODY5OQMAAAADMTYwAgAAAAQyMDA2BAAAAAEwBwAAAAg5LzUvMjAyNggAAAAJNi8zMC8yMDI2CQAAAAEwukBR/PEK3whRPnIE8grfCBxDSVEuUExUUi5JUV9DQVBFWC4uMDUtU0VQLTI2AQAAAGX6mAICAAAABy00Mi4wMTkBCAAAAAUAAAABMQEAAAALLTE4NzkyMjg2OTkDAAAAAzE2MAIAAAAEMjAyMQQAAAABMAcAAAAIOS81LzIwMjYIAAAACTYvMzAvMjAyNgkAAAABMLpAUfzxCt8IUT5yBPIK3wghQ0lRLlBMVFIuSVFfVE9UQUxfREVC</t>
        </is>
      </c>
      <c r="BD1" t="inlineStr">
        <is>
          <t>VC4uMDUtU0VQLTI2AQAAAGX6mAICAAAABTIxMS40AQgAAAAFAAAAATEBAAAACy0xODc5MjI4Njk5AwAAAAMxNjACAAAABDQxNzMEAAAAATAHAAAACDkvNS8yMDI2CAAAAAk2LzMwLzIwMjYJAAAAATC6QFH88QrfCFE+cgTyCt8IJUNJUS5QTFRSLklRX0NBU0hfU1RfSU5WRVNULi4wNS1TRVAtMjYBAAAAZfqYAgIAAAAIOTQwOS4wOTkBCAAAAAUAAAABMQEAAAALLTE4NzkyMjg2OTkDAAAAAzE2MAIAAAAEMTAwMgQAAAABMAcAAAAIOS81LzIwMjYIAAAACTYvMzAvMjAyNgkAAAABMLpAUfzxCt8IUT5yBPIK3wgdQ0lRLlBMVFIuSVFfQ0FTSF9PUEVSX0NTLjIwMDABAAAAZfqYAgIAAAAIMzQwMC4yOTEBCQAAAAUAAAACMTkBAAAACDI5OTkyMTg5AgAAAAUzMjgyNAkAAAACLTEDAAAAAzE2MAYAAAAIOC80LzIwMjYHAAAACDkvNC8yMDI2CAAAAAEwBAAAAAEwukBR/PEK3wjRD3L88QrfCBxDSVEuUExUUi5JUV9DQVNIX09QRVJfQ1MuOTk2AQAAAGX6mAICAAAABzMzMy44NTEBCQAAAAUAAAACMTkBAAAACDI1Mjk5NjQ4AgAAAAUzMjgyNAkAAAACLTEDAAAAAzE2MAYAAAAJMi8xNy8yMDIyBwAAAAg5LzQvMjAyNggAAAABMAQAAAABMLpAUfzxCt8I0Q9y/PEK3wgcQ0lRLlBMVFIuSVFfQ0FTSF9PUEVSX0NTLjk5NwEAAABl+pgCAgAAAAcyMjMuNzM3AQkAAAAFAAAAAjE5AQAAAAgyNjM2NDEzNAIAAAAFMzI4MjQJ</t>
        </is>
      </c>
      <c r="BE1" t="inlineStr">
        <is>
          <t>AAAAAi0xAwAAAAMxNjAGAAAACTIvMTQvMjAyMwcAAAAIOS80LzIwMjYIAAAAATAEAAAAATC6QFH88QrfCNEPcvzxCt8IHENJUS5QTFRSLklRX0NBU0hfT1BFUl9DUy45OTgBAAAAZfqYAgIAAAAHNzEyLjE4MwEJAAAABQAAAAIxOQEAAAAIMjc0MDEzMDcCAAAABTMyODI0CQAAAAItMQMAAAADMTYwBgAAAAgyLzYvMjAyNAcAAAAIOS80LzIwMjYIAAAAATAEAAAAATC6QFH88QrfCNEPcvzxCt8IHENJUS5QTFRSLklRX0NBU0hfT1BFUl9DUy45OTkBAAAAZfqYAgIAAAAIMTE1My44NjUBCQAAAAUAAAACMTkBAAAACDI4NDYxNzUyAgAAAAUzMjgyNAkAAAACLTEDAAAAAzE2MAYAAAAIMi80LzIwMjUHAAAACDkvNC8yMDI2CAAAAAEwBAAAAAEwukBR/PEK3wjRD3L88QrfCB1DSVEuUExUUi5JUV9DQVNIX09QRVJfQ1MuMTAwMAEAAABl+pgCAgAAAAgyMTM0LjQ3MwEJAAAABQAAAAIxOQEAAAAIMjk0NTgwNjMCAAAABTMyODI0CQAAAAItMQMAAAADMTYwBgAAAAgyLzMvMjAyNgcAAAAIOS80LzIwMjYIAAAAATAEAAAAATC6QFH88QrfCNEPcvzxCt8IHkNJUS5QTFRSLklRX0ZJTElOR19DVVJSRU5DWV9DUwEAAABl+pgCAwAAAANVU0QAukBR/PEK3whK6HH88QrfCDNDSVEuUExUUi5JUV9UT1RBTF9PVVRTVEFORElOR19CU19EQVRFX0NTLi4wNS1TRVAtMjYBAAAAZfqYAgIAAAAIMjQwMi44OTcBCQAAAAUAAAACMTkB</t>
        </is>
      </c>
      <c r="BF1" t="inlineStr">
        <is>
          <t>AAAACDI5OTkyMTg5AgAAAAUzMjY2MgkAAAACLTEDAAAAATAGAAAACDgvNC8yMDI2BwAAAAg5LzUvMjAyNggAAAABMAQAAAABMLpAUfzxCt8IUT5yBPIK3wgaQ0lRLlBMVFIuSVFfSU5TSURFUl9TSEFSRVMBAAAAZfqYAgEAAAAIOTgzMzUwMDABBQAAAAUAAAACMjEBAAAABjE2MTk1OQIAAAAINDM1ODAwMDUGAAAAATEHAAAAATG6QFH88QrfCAOFcvzxCt8IG0NJUS5QTFRSLklRX1RFVl9UT1RBTF9SRVYuLgEAAABl+pgCAgAAAA82Ni41NzYwNDAyNTQxODcBBwAAAAUAAAABMQEAAAALLTE4NzkyMjg2OTkDAAAAATACAAAABjEwMDA2MQQAAAABMAcAAAAIOS80LzIwMjYIAAAACDkvNC8yMDI2AVeY/PEK3wgsBqz88QrfCBhDSVEuUExUUi5JUV9URVZfRUJJVERBLi4BAAAAZfqYAgIAAAAQMTUwLjk2MjYwMTEyNDg5NAEHAAAABQAAAAExAQAAAAstMTg3OTIyODY5OQMAAAABMAIAAAAGMTAwMDYzBAAAAAEwBwAAAAg5LzQvMjAyNggAAAAIOS80LzIwMjYBV5j88QrfCCwGrPzxCt8IEUNJUS5QTFRSLklRX1BCVi4uAQAAAGX6mAICAAAAEDQyLjg1NzQ0ODQwMjI5MjEBBwAAAAUAAAABMQEAAAALLTE4NzkyMjg2OTkDAAAAATACAAAABjEwMDA2NwQAAAABMAcAAAAIOS80LzIwMjYIAAAACDkvNC8yMDI2AVeY/PEK3wgsBqz88QrfCBVDSVEuUExUUi5JUV9CRVRBXzVZUi4BAAAAZfqYAgIAAAAQMS42MjEzNTQ2ODAz</t>
        </is>
      </c>
      <c r="BG1" t="inlineStr">
        <is>
          <t>MDg5OQABV5j88QrfCCwGrPzxCt8IF0NJUS5QTFRSLklRX01BUktFVENBUC4uAQAAAGX6mAICAAAADTQxODkyNS4xODQ4MTgBBgAAAAUAAAABMQEAAAALLTE4NzkyMzQ4NzQDAAAAAzE2MAIAAAAGMTAwMDU0BAAAAAEwBwAAAAg5LzQvMjAyNgFXmPzxCt8ILAas/PEK3wgRQ0lRLlBMVFIuSVFfVEVWLi4BAAAAZfqYAgIAAAANNDA5ODM4LjE3NTgxOAEGAAAABQAAAAExAQAAAAstMTg3OTIzNDg3NAMAAAADMTYwAgAAAAYxMDAwNjAEAAAAATAHAAAACDkvNC8yMDI2AVeY/PEK3wgsBqz88QrfCBtDSVEuUExUUi5JUV9ESVZJREVORF9ZSUVMRC4BAAAAZfqYAgMAAAAAAAFXmPzxCt8ILAas/PEK3wgjQ0lRLlBMVFIuSVFfU0hBUkVTT1VUU1RBTkRJTkdfT1VULi4BAAAAZfqYAgIAAAALMjU0Ny40NDgyMzYAAVeY/PEK3wgsBqz88QrfCBBDSVEuUExUUi5JUV9URVYuAQAAAGX6mAICAAAADTQwOTgzOC4xNzU4MTgBBgAAAAUAAAABMQEAAAALLTE4NzkyMzQ4NzQDAAAAAzE2MAIAAAAGMTAwMDYwBAAAAAEwBwAAAAg5LzQvMjAyNgFXmPzxCt8ILAas/PEK3wgWQ0lRLlBMVFIuSVFfTUFSS0VUQ0FQLgEAAABl+pgCAgAAAA00MTg5MjUuMTg0ODE4AQYAAAAFAAAAATEBAAAACy0xODc5MjM0ODc0AwAAAAMxNjACAAAABjEwMDA1NAQAAAABMAcAAAAIOS80LzIwMjYBV5j88QrfCCwGrPzxCt8IF0NJUS5QTFRSLklRX0NM</t>
        </is>
      </c>
      <c r="BH1" t="inlineStr">
        <is>
          <t>T1NFUFJJQ0UuAQAAAGX6mAICAAAABjE3NC4zMwABV5j88QrfCCwGrPzxCt8IFENJUS5QTFRSLklRX1lFQVJMT1cuAQAAAGX6mAICAAAABjEwNi4zNwABV5j88QrfCCwGrPzxCt8IFUNJUS5QTFRSLklRX1lFQVJISUdILgEAAABl+pgCAgAAAAYyMDcuNTIAAVeY/PEK3wgsBqz88QrfCBhDSVEuUExUUi5JUV9UT1RBTF9ERUJULi4BAAAAZfqYAgIAAAAFMjExLjQBCAAAAAUAAAABMQEAAAALLTE4NzkyMjg2OTkDAAAAAzE2MAIAAAAENDE3MwQAAAABMAcAAAAIOS80LzIwMjYIAAAACTYvMzAvMjAyNgkAAAABMAFXmPzxCt8ILAas/PEK3wgcQ0lRLlBMVFIuSVFfQ0FTSF9TVF9JTlZFU1QuLgEAAABl+pgCAgAAAAg5NDA5LjA5OQEIAAAABQAAAAExAQAAAAstMTg3OTIyODY5OQMAAAADMTYwAgAAAAQxMDAyBAAAAAEwBwAAAAg5LzQvMjAyNggAAAAJNi8zMC8yMDI2CQAAAAEwAVeY/PEK3wgsBqz88QrfCCpDSVEuUExUUi5JUV9UT1RBTF9PVVRTVEFORElOR19CU19EQVRFX0NTLi4BAAAAZfqYAgIAAAAIMjQwMi44OTcBCQAAAAUAAAACMTkBAAAACDI5OTkyMTg5AgAAAAUzMjY2MgkAAAACLTEDAAAAATAGAAAACDgvNC8yMDI2BwAAAAg5LzQvMjAyNggAAAABMAQAAAABMAFXmPzxCt8ILAas/PEK3wgZQ0lRLkdNRS5JUV9JTlNUX09XTkVSU0hJUAUAAAAAAAAACAAAABYoSW52YWxpZCBGb3JtdWxhIE5hbWUpKujp</t>
        </is>
      </c>
      <c r="BI1" t="inlineStr">
        <is>
          <t>CPIK3whfxwwJ8grfCBZDSVEuR01FLklRX0lOU1RfU0hBUkVTBQAAAAAAAAAIAAAAFihJbnZhbGlkIEZvcm11bGEgTmFtZSkq6OkI8grfCADvDAnyCt8IHENJUS5HTUUuSVFfSU5TSURFUl9PV05FUlNISVAFAAAAAAAAAAgAAAAWKEludmFsaWQgRm9ybXVsYSBOYW1lKSro6QjyCt8IAO8MCfIK3wgaQ0lRLkdNRS5JUV9JTkRVU1RSWV9TRUNUT1IBAAAAYHwUAAMAAAAWQ29uc3VtZXIgRGlzY3JldGlvbmFyeQAq6OkI8grfCE15DAnyCt8IG0NJUS5HTUUuSVFfUFJJTUFSWV9JTkRVU1RSWQEAAABgfBQAAwAAAB9Db21wdXRlciBhbmQgRWxlY3Ryb25pY3MgUmV0YWlsACro6QjyCt8ITXkMCfIK3wgTQ0lRLkdNRS5JUV9FWENIQU5HRQEAAABgfBQAAwAAAAROWVNFACro6QjyCt8ITXkMCfIK3wgaQ0lRLkdNRS5JUV9DT01QQU5ZX0FERFJFU1MBAAAAYHwUAAMAAAA8NjI1IFdlc3Rwb3J0IFBhcmt3YXksIEdyYXBldmluZSwgVGV4YXMsIDc2MDUxLCBVbml0ZWQgU3RhdGVzACro6QjyCt8ITXkMCfIK3wgXQ0lRLkdNRS5JUV9DT01QQU5ZX05BTUUBAAAAYHwUAAMAAAAOR2FtZVN0b3AgQ29ycC4AKujpCPIK3whNeQwJ8grfCCdDSVFSQU5HRS5HTUUuSVFfTkVXUy4xLjI1Li4uLi5ORVdTIERBVEUDAAAAYHwUAAEAAAAAAAAAAwAAAAAAAAAFIkdNRSIDR01FAQAAAAkiSVFfTkVXUyIHSVFfTkVXUwIAAAABMQExP//p</t>
        </is>
      </c>
      <c r="BJ1" t="inlineStr">
        <is>
          <t>CPIK3wg//+kI8grfCBFDSVEuR01FLklRX05FV1MuMQEAAABgfBQAAwAAAE9HYW1lU3RvcCBjb25zaWRlcnMgd2l0aGRyYXdpbmcgZUJheSBiaWQ7IEludGVsIHBsYW5zICQxNUIgY29tbW9uLXN0b2NrIG9mZmVyaW5nAQMAAAAFAAAAAjE3AQAAAAkzMjI3Mzc5OTkCAAAABDc3NzE//+kI8grfCD6gDAnyCt8IK0NJUVJBTkdFLkdNRS5JUV9ORVdTLjEuMjUuLi4uLk5FV1MgSEVBRExJTkUDAAAAYHwUAAEAAAAAAAAAAwAAAAAAAAAFIkdNRSIDR01FAQAAAAkiSVFfTkVXUyIHSVFfTkVXUwIAAAABMQExP//pCPIK3wg//+kI8grfCClDSVFSQU5HRS5HTUUuSVFfTkVXUy4xLjI1Li4uLi5ORVdTIFNPVVJDRQMAAABgfBQAAQAAAAAAAAADAAAAAAAAAAUiR01FIgNHTUUBAAAACSJJUV9ORVdTIgdJUV9ORVdTAgAAAAExATE//+kI8grfCD//6QjyCt8IJkNJUVJBTkdFLkdNRS5JUV9ORVdTLjEuMjUuLi4uLk5FV1MgVVJMAwAAAGB8FAABAAAAAAAAAAMAAAAAAAAABSJHTUUiA0dNRQEAAAAJIklRX05FV1MiB0lRX05FV1MCAAAAATEBMT//6QjyCt8IP//pCPIK3wgbQ0lRLkdNRS5JUV9QUklDRV9TQUxFUy4yMDAwAQAAAGB8FAACAAAAEDIuMjk5MTQzODA4OTI1MzEBBwAAAAUAAAABMQEAAAALLTE4ODQ0Mjg2MTYDAAAAATACAAAABTM4OTU4BAAAAAEwBwAAAAg5LzQvMjAyNggAAAAIOS80LzIwMjY//+kI8grfCE15</t>
        </is>
      </c>
      <c r="BK1" t="inlineStr">
        <is>
          <t>DAnyCt8IF0NJUS5HTUUuSVFfUEVfRVhDTC4yMDAwAQAAAGB8FAACAAAAEDE0LjI3MDY5MDI2NjQzNTkBBwAAAAUAAAABMQEAAAALLTE4ODQ0Mjg2MTYDAAAAATACAAAABjEwMDA2NgQAAAABMAcAAAAIOS80LzIwMjYIAAAACDkvNC8yMDI2P//pCPIK3whNeQwJ8grfCCNDSVEuR01FLklRX1RFVl9UT1RBTF9SRVYuLjA1LVNFUC0yNgEAAABgfBQAAgAAAA8xLjIyMzcyNjAxOTEwNjMBBwAAAAUAAAABMQEAAAALLTE4ODQ0Mjg2MTYDAAAAATACAAAABjEwMDA2MQQAAAABMAcAAAAIOS80LzIwMjYIAAAACDkvNC8yMDI2P//pCPIK3wjRVyIT8grfCBlDSVEuR01FLklRX1BCVi4uMDUtU0VQLTI2AQAAAGB8FAACAAAAEDEuNDcxNTc1NzM4ODc3MzMBBwAAAAUAAAABMQEAAAALLTE4ODQ0Mjg2MTYDAAAAATACAAAABjEwMDA2NwQAAAABMAcAAAAIOS80LzIwMjYIAAAACDkvNC8yMDI2P//pCPIK3wjRVyIT8grfCCBDSVEuR01FLklRX1RFVl9FQklUREEuLjA1LVNFUC0yNgEAAABgfBQAAgAAABA3LjIzNjMxNjAxNDQ0NzUyAQcAAAAFAAAAATEBAAAACy0xODg0NDI4NjE2AwAAAAEwAgAAAAYxMDAwNjMEAAAAATAHAAAACDkvNC8yMDI2CAAAAAg5LzQvMjAyNj//6QjyCt8I0VciE/IK3wgdQ0lRLkdNRS5JUV9CRVRBXzVZUi4wNS1TRVAtMjYBAAAAYHwUAAIAAAAQMS43MTM5ODA5NTg5NTg0OQA//+kI8grfCNFXIhPy</t>
        </is>
      </c>
      <c r="BL1" t="inlineStr">
        <is>
          <t>Ct8IGUNJUS5HTUUuSVFfVEVWLi4wNS1TRVAtMjYBAAAAYHwUAAIAAAALNDU2Ny45MjQ0ODQBBgAAAAUAAAABMQEAAAALLTE4ODQ0Mjk3MjgDAAAAAzE2MAIAAAAGMTAwMDYwBAAAAAEwBwAAAAg5LzQvMjAyNj//6QjyCt8I0VciE/IK3wgfQ0lRLkdNRS5JUV9NQVJLRVRDQVAuLjA1LVNFUC0yNgEAAABgfBQAAgAAAAs4NTk2LjkyNDQ4NAEGAAAABQAAAAExAQAAAAstMTg4NDQyOTcyOAMAAAADMTYwAgAAAAYxMDAwNTQEAAAAATAHAAAACDkvNC8yMDI2P//pCPIK3wjRVyIT8grfCCtDSVEuR01FLklRX1NIQVJFU09VVFNUQU5ESU5HX09VVC4uMDUtU0VQLTI2AQAAAGB8FAACAAAACjQ0OC42OTEyNTcAP//pCPIK3wjRVyIT8grfCCNDSVEuR01FLklRX0RJVklERU5EX1lJRUxELjA1LVNFUC0yNgEAAABgfBQAAwAAAAAAP//pCPIK3wjRVyIT8grfCB1DSVEuR01FLklRX1lFQVJISUdILjA1LVNFUC0yNgEAAABgfBQAAgAAAAQyOC4xAD//6QjyCt8I0VciE/IK3wgcQ0lRLkdNRS5JUV9ZRUFSTE9XLjA1LVNFUC0yNgEAAABgfBQAAgAAAAUxNy43OQA//+kI8grfCNFXIhPyCt8IH0NJUS5HTUUuSVFfQ0xPU0VQUklDRS4wNS1TRVAtMjYBAAAAYHwUAAIAAAAFMTkuMTYAP//pCPIK3wjRVyIT8grfCB5DSVEuR01FLklRX01BUktFVENBUC4wNS1TRVAtMjYBAAAAYHwUAAIAAAALODU5Ni45MjQ0ODQBBgAAAAUAAAAB</t>
        </is>
      </c>
      <c r="BM1" t="inlineStr">
        <is>
          <t>MQEAAAALLTE4ODQ0Mjk3MjgDAAAAAzE2MAIAAAAGMTAwMDU0BAAAAAEwBwAAAAg5LzQvMjAyNj//6QjyCt8I0VciE/IK3wgYQ0lRLkdNRS5JUV9URVYuMDUtU0VQLTI2AQAAAGB8FAACAAAACzQ1NjcuOTI0NDg0AQYAAAAFAAAAATEBAAAACy0xODg0NDI5NzI4AwAAAAMxNjACAAAABjEwMDA2MAQAAAABMAcAAAAIOS80LzIwMjY//+kI8grfCNFXIhPyCt8IGENJUUFWRy5HTUUuSVFfVk9MVU1FLi0zTQEAAABgfBQAAgAAABA1LjYxNTAzOTk4NDYxNTM4AD//6QjyCt8ITXkMCfIK3wggQ0lRLkdNRS5JUV9QRV9FWENMX0ZXRF9DSVEuMTAwMDABAAAAYHwUAAMAAAAAAD//6QjyCt8ITXkMCfIK3wgXQ0lRLkdNRS5JUV9QRUdfRldELjYwMDABAAAAYHwUAAMAAAAAAD//6QjyCt8ITXkMCfIK3wgfQ0lRLkdNRS5JUV9QRV9FWENMX0ZXRF9DSVEuNjAwMAEAAABgfBQAAgAAABAxNC41NDI2OTQ0OTcxNTM3AQ0AAAAFAAAAATkBAAAACDI0MjY4MzM1AgAAAAk3MDUyOTc3MDIDAAAABjEwMDMwOQQAAAABMgYAAAABMAcAAAADMTYwCAAAAAEwCQAAAAExCgAAAAEwCwAAAAsxNDk0MDAwNTYzMgwAAAACMTINAAAACDkvNS8yMDI2P//pCPIK3whNeQwJ8grfCB1DSVEuR01FLklRX0ZJTElOR19DVVJSRU5DWV9DUwEAAABgfBQAAwAAAANVU0QAP//pCPIK3whNeQwJ8grfCBtDSVEuR01FLklRX0NBU0hfT1BFUl9DUy45OTYB</t>
        </is>
      </c>
      <c r="BN1" t="inlineStr">
        <is>
          <t>AAAAYHwUAAIAAAAGLTQzNC4zAQkAAAAFAAAAAjE5AQAAAAgyNTQwMTUzNAIAAAAFMzI4MjQJAAAAAi0xAwAAAAMxNjAGAAAACTMvMTgvMjAyMgcAAAAIOS80LzIwMjYIAAAAATAEAAAAATA//+kI8grfCEdSDAnyCt8IG0NJUS5HTUUuSVFfQ0FTSF9PUEVSX0NTLjk5NwEAAABgfBQAAgAAAAUxMDguMgEJAAAABQAAAAIxOQEAAAAIMjY1Mjg4MDcCAAAABTMyODI0CQAAAAItMQMAAAADMTYwBgAAAAg0LzgvMjAyMwcAAAAIOS80LzIwMjYIAAAAATAEAAAAATA//+kI8grfCEdSDAnyCt8IG0NJUS5HTUUuSVFfQ0FTSF9PUEVSX0NTLjk5OAEAAABgfBQAAgAAAAYtMjAzLjcBCQAAAAUAAAACMTkBAAAACDI3NTcxNzkzAgAAAAUzMjgyNAkAAAACLTEDAAAAAzE2MAYAAAAJMy8yNy8yMDI0BwAAAAg5LzQvMjAyNggAAAABMAQAAAABMD//6QjyCt8IR1IMCfIK3wgbQ0lRLkdNRS5JUV9DQVNIX09QRVJfQ1MuOTk5AQAAAGB8FAACAAAABTE0NS43AQkAAAAFAAAAAjE5AQAAAAgyODYyNTg3MgIAAAAFMzI4MjQJAAAAAi0xAwAAAAMxNjAGAAAACTMvMjYvMjAyNQcAAAAIOS80LzIwMjYIAAAAATAEAAAAATA//+kI8grfCEdSDAnyCt8IHENJUS5HTUUuSVFfQ0FTSF9PUEVSX0NTLjEwMDABAAAAYHwUAAIAAAAFNTkyLjMBCQAAAAUAAAACMTkBAAAACDI5NjEyMjkyAgAAAAUzMjgyNAkAAAACLTEDAAAAAzE2MAYAAAAINC8x</t>
        </is>
      </c>
      <c r="BO1" t="inlineStr">
        <is>
          <t>LzIwMjYHAAAACDkvNC8yMDI2CAAAAAEwBAAAAAEwP//pCPIK3whHUgwJ8grfCBxDSVEuR01FLklRX0NBU0hfT1BFUl9DUy4yMDAwAQAAAGB8FAACAAAABTc4Ni42AQkAAAAFAAAAAjE5AQAAAAgyOTg1MTU4OQIAAAAFMzI4MjQJAAAAAi0xAwAAAAMxNjAGAAAACTYvMTcvMjAyNgcAAAAIOS80LzIwMjYIAAAAATAEAAAAATA//+kI8grfCEdSDAnyCt8IMkNJUS5HTUUuSVFfVE9UQUxfT1VUU1RBTkRJTkdfQlNfREFURV9DUy4uMDUtU0VQLTI2AQAAAGB8FAACAAAABTQ0OC43AQkAAAAFAAAAAjE5AQAAAAgyOTg1MTU4OQIAAAAFMzI2NjIJAAAAAi0xAwAAAAEwBgAAAAk2LzE3LzIwMjYHAAAACDkvNS8yMDI2CAAAAAEwBAAAAAEwP//pCPIK3wjRVyIT8grfCBlDSVEuR01FLklRX1RCVl9TSEFSRS41MDAwAQAAAGB8FAACAAAACTEzLjAyMDA1NwEIAAAABQAAAAExAQAAAAstMTg4NDQyOTcyOAMAAAADMTYwAgAAAAQ0MTU2BAAAAAEwBwAAAAg5LzQvMjAyNggAAAAINS8yLzIwMjYJAAAAATA//+kI8grfCE15DAnyCt8IIUNJUS5HTUUuSVFfVE9UQUxfREVCVF9FUVVJVFkuNTAwMAEAAABgfBQAAgAAAAc3NC4yNzI5AQgAAAAFAAAAATEBAAAACy0xODg0NDI5NzI4AwAAAAMxNjACAAAABDQwMzQEAAAAATAHAAAACDkvNC8yMDI2CAAAAAg1LzIvMjAyNgkAAAABMD//6QjyCt8ITXkMCfIK3wgkQ0lRLkdNRS5JUV9T</t>
        </is>
      </c>
      <c r="BP1" t="inlineStr">
        <is>
          <t>SE9SVF9JTlRFUkVTVF9PVkVSX0ZMT0FUAQAAAGB8FAACAAAABzEzLjIxNzkAP//pCPIK3whNeQwJ8grfCB5DSVEuR01FLklRX0NVUlJFTlRfUkFUSU8uMTAwMDABAAAAYHwUAAIAAAAJMTUuMjk2NTYyAQgAAAAFAAAAATEBAAAACy0xOTAwMzk2NjI2AwAAAAMxNjACAAAABDQwMzAEAAAAATAHAAAACDkvNC8yMDI2CAAAAAkxLzMxLzIwMjYJAAAAATA//+kI8grfCE15DAnyCt8IHENJUS5HTUUuSVFfUVVJQ0tfUkFUSU8uMTAwMDABAAAAYHwUAAIAAAAJMTMuODQwNzk0AQgAAAAFAAAAATEBAAAACy0xOTAwMzk2NjI2AwAAAAMxNjACAAAABDQxMjEEAAAAATAHAAAACDkvNC8yMDI2CAAAAAkxLzMxLzIwMjYJAAAAATA//+kI8grfCE15DAnyCt8IGENJUS5HTUUuSVFfRUJJVF9JTlQuMjAwMAEAAABgfBQAAwAAAAAAP//pCPIK3whNeQwJ8grfCBhDSVEuR01FLklRX0dXX0lOVEFOLjUwMDABAAAAYHwUAAMAAAAAAD//6QjyCt8ITXkMCfIK3wgYQ0lRLkdNRS5JUV9UT1RBTF9SRVYuOTk2AQAAAGB8FAACAAAABjYwMTAuNwEIAAAABQAAAAExAQAAAAstMjAwNDY2MDYxMwMAAAADMTYwAgAAAAIyOAQAAAABMAcAAAAIOS80LzIwMjYIAAAACTEvMjkvMjAyMgkAAAABMD//6QjyCt8ITXkMCfIK3wgYQ0lRLkdNRS5JUV9UT1RBTF9SRVYuOTk3AQAAAGB8FAACAAAABjU5MjcuMgEIAAAABQAAAAExAQAAAAstMTk1NDQ2</t>
        </is>
      </c>
      <c r="BQ1" t="inlineStr">
        <is>
          <t>NjAyOAMAAAADMTYwAgAAAAIyOAQAAAABMAcAAAAIOS80LzIwMjYIAAAACTEvMjgvMjAyMwkAAAABMD//6QjyCt8ITXkMCfIK3wgYQ0lRLkdNRS5JUV9UT1RBTF9SRVYuOTk4AQAAAGB8FAACAAAABjUyNzIuOAEIAAAABQAAAAExAQAAAAstMTkwMDM5NzAzNAMAAAADMTYwAgAAAAIyOAQAAAABMAcAAAAIOS80LzIwMjYIAAAACDIvMy8yMDI0CQAAAAEwP//pCPIK3whNeQwJ8grfCBhDSVEuR01FLklRX1RPVEFMX1JFVi45OTkBAAAAYHwUAAIAAAAEMzgyMwEIAAAABQAAAAExAQAAAAstMTkwMDM5NzAyNwMAAAADMTYwAgAAAAIyOAQAAAABMAcAAAAIOS80LzIwMjYIAAAACDIvMS8yMDI1CQAAAAEwP//pCPIK3whNeQwJ8grfCBlDSVEuR01FLklRX1RPVEFMX1JFVi4xMDAwAQAAAGB8FAACAAAABjM2MjkuOQEIAAAABQAAAAExAQAAAAstMTkwMDM5NzAxNgMAAAADMTYwAgAAAAIyOAQAAAABMAcAAAAIOS80LzIwMjYIAAAACTEvMzEvMjAyNgkAAAABMD//6QjyCt8ITXkMCfIK3wgZQ0lRLkdNRS5JUV9UT1RBTF9SRVYuMjAwMAEAAABgfBQAAgAAAAYzNzMyLjgBCAAAAAUAAAABMQEAAAALLTE4ODQ0Mjg2MTYDAAAAAzE2MAIAAAACMjgEAAAAATAHAAAACDkvNC8yMDI2CAAAAAg1LzIvMjAyNgkAAAABMD//6QjyCt8ITXkMCfIK3wgRQ0lRLkdNRS5JUV9HUC45OTYBAAAAYHwUAAIAAAAGMTM0Ny44AQgAAAAFAAAA</t>
        </is>
      </c>
      <c r="BR1" t="inlineStr">
        <is>
          <t>ATEBAAAACy0yMDA0NjYwNjEzAwAAAAMxNjACAAAAAjEwBAAAAAEwBwAAAAg5LzQvMjAyNggAAAAJMS8yOS8yMDIyCQAAAAEwP//pCPIK3whNeQwJ8grfCBFDSVEuR01FLklRX0dQLjk5NwEAAABgfBQAAgAAAAYxMzcyLjEBCAAAAAUAAAABMQEAAAALLTE5NTQ0NjYwMjgDAAAAAzE2MAIAAAACMTAEAAAAATAHAAAACDkvNC8yMDI2CAAAAAkxLzI4LzIwMjMJAAAAATA//+kI8grfCE15DAnyCt8IEUNJUS5HTUUuSVFfR1AuOTk4AQAAAGB8FAACAAAABjEyOTQuMgEIAAAABQAAAAExAQAAAAstMTkwMDM5NzAzNAMAAAADMTYwAgAAAAIxMAQAAAABMAcAAAAIOS80LzIwMjYIAAAACDIvMy8yMDI0CQAAAAEwP//pCPIK3whNeQwJ8grfCBFDSVEuR01FLklRX0dQLjk5OQEAAABgfBQAAgAAAAYxMTEzLjkBCAAAAAUAAAABMQEAAAALLTE5MDAzOTcwMjcDAAAAAzE2MAIAAAACMTAEAAAAATAHAAAACDkvNC8yMDI2CAAAAAgyLzEvMjAyNQkAAAABMD//6QjyCt8ITXkMCfIK3wgSQ0lRLkdNRS5JUV9HUC4xMDAwAQAAAGB8FAACAAAABjExOTYuMQEIAAAABQAAAAExAQAAAAstMTkwMDM5NzAxNgMAAAADMTYwAgAAAAIxMAQAAAABMAcAAAAIOS80LzIwMjYIAAAACTEvMzEvMjAyNgkAAAABMD//6QjyCt8IR1IMCfIK3wgSQ0lRLkdNRS5JUV9HUC4yMDAwAQAAAGB8FAACAAAABjEyODMuNgEIAAAABQAAAAExAQAAAAstMTg4</t>
        </is>
      </c>
      <c r="BS1" t="inlineStr">
        <is>
          <t>NDQyODYxNgMAAAADMTYwAgAAAAIxMAQAAAABMAcAAAAIOS80LzIwMjYIAAAACDUvMi8yMDI2CQAAAAEwP//pCPIK3whHUgwJ8grfCBdDSVEuR01FLklRX09QRVJfSU5DLjk5NgEAAABgfBQAAgAAAAYtMzgwLjQBCAAAAAUAAAABMQEAAAALLTIwMDQ2NjA2MTMDAAAAAzE2MAIAAAACMjEEAAAAATAHAAAACDkvNC8yMDI2CAAAAAkxLzI5LzIwMjIJAAAAATA//+kI8grfCEdSDAnyCt8IF0NJUS5HTUUuSVFfT1BFUl9JTkMuOTk3AQAAAGB8FAACAAAABi0zNjMuNQEIAAAABQAAAAExAQAAAAstMTk1NDQ2NjAyOAMAAAADMTYwAgAAAAIyMQQAAAABMAcAAAAIOS80LzIwMjYIAAAACTEvMjgvMjAyMwkAAAABMD//6QjyCt8IR1IMCfIK3wgXQ0lRLkdNRS5JUV9PUEVSX0lOQy45OTgBAAAAYHwUAAIAAAAFLTMxLjcBCAAAAAUAAAABMQEAAAALLTE5MDAzOTcwMzQDAAAAAzE2MAIAAAACMjEEAAAAATAHAAAACDkvNC8yMDI2CAAAAAgyLzMvMjAyNAkAAAABMD//6QjyCt8IR1IMCfIK3wgXQ0lRLkdNRS5JUV9PUEVSX0lOQy45OTkBAAAAYHwUAAIAAAAFLTE3LjQBCAAAAAUAAAABMQEAAAALLTE5MDAzOTcwMjcDAAAAAzE2MAIAAAACMjEEAAAAATAHAAAACDkvNC8yMDI2CAAAAAgyLzEvMjAyNQkAAAABMD//6QjyCt8IR1IMCfIK3wgYQ0lRLkdNRS5JUV9PUEVSX0lOQy4xMDAwAQAAAGB8FAACAAAABTI4NC44AQgAAAAF</t>
        </is>
      </c>
      <c r="BT1" t="inlineStr">
        <is>
          <t>AAAAATEBAAAACy0xOTAwMzk3MDE2AwAAAAMxNjACAAAAAjIxBAAAAAEwBwAAAAg5LzQvMjAyNggAAAAJMS8zMS8yMDI2CQAAAAEwP//pCPIK3whHUgwJ8grfCBhDSVEuR01FLklRX09QRVJfSU5DLjIwMDABAAAAYHwUAAIAAAAFMzk4LjgBCAAAAAUAAAABMQEAAAALLTE4ODQ0Mjg2MTYDAAAAAzE2MAIAAAACMjEEAAAAATAHAAAACDkvNC8yMDI2CAAAAAg1LzIvMjAyNgkAAAABMD//6QjyCt8IR1IMCfIK3wgVQ0lRLkdNRS5JUV9FQklUREEuOTk2AQAAAGB8FAACAAAABi0zMDMuMgEIAAAABQAAAAExAQAAAAstMjAwNDY2MDYxMwMAAAADMTYwAgAAAAQ0MDUxBAAAAAEwBwAAAAg5LzQvMjAyNggAAAAJMS8yOS8yMDIyCQAAAAEwP//pCPIK3whHUgwJ8grfCBVDSVEuR01FLklRX0VCSVREQS45OTcBAAAAYHwUAAIAAAAGLTMwMS44AQgAAAAFAAAAATEBAAAACy0xOTU0NDY2MDI4AwAAAAMxNjACAAAABDQwNTEEAAAAATAHAAAACDkvNC8yMDI2CAAAAAkxLzI4LzIwMjMJAAAAATA//+kI8grfCEdSDAnyCt8IFUNJUS5HTUUuSVFfRUJJVERBLjk5OAEAAABgfBQAAgAAAAQyNC41AQgAAAAFAAAAATEBAAAACy0xOTAwMzk3MDM0AwAAAAMxNjACAAAABDQwNTEEAAAAATAHAAAACDkvNC8yMDI2CAAAAAgyLzMvMjAyNAkAAAABMD//6QjyCt8IR1IMCfIK3wgVQ0lRLkdNRS5JUV9FQklUREEuOTk5AQAAAGB8FAACAAAA</t>
        </is>
      </c>
      <c r="BU1" t="inlineStr">
        <is>
          <t>BDIxLjUBCAAAAAUAAAABMQEAAAALLTE5MDAzOTcwMjcDAAAAAzE2MAIAAAAENDA1MQQAAAABMAcAAAAIOS80LzIwMjYIAAAACDIvMS8yMDI1CQAAAAEwP//pCPIK3whHUgwJ8grfCBZDSVEuR01FLklRX0VCSVREQS4xMDAwAQAAAGB8FAACAAAABTI5OS40AQgAAAAFAAAAATEBAAAACy0xOTAwMzk3MDE2AwAAAAMxNjACAAAABDQwNTEEAAAAATAHAAAACDkvNC8yMDI2CAAAAAkxLzMxLzIwMjYJAAAAATA//+kI8grfCEdSDAnyCt8IFkNJUS5HTUUuSVFfRUJJVERBLjIwMDABAAAAYHwUAAIAAAAFNDEyLjMBCAAAAAUAAAABMQEAAAALLTE4ODQ0Mjg2MTYDAAAAAzE2MAIAAAAENDA1MQQAAAABMAcAAAAIOS80LzIwMjYIAAAACDUvMi8yMDI2CQAAAAEwP//pCPIK3wjUbCIT8grfCBFDSVEuR01FLklRX05JLjk5NgEAAABgfBQAAgAAAAYtMzgxLjMBCAAAAAUAAAABMQEAAAALLTIwMDQ2NjA2MTMDAAAAAzE2MAIAAAACMTUEAAAAATAHAAAACDkvNC8yMDI2CAAAAAkxLzI5LzIwMjIJAAAAATA//+kI8grfCEdSDAnyCt8IEUNJUS5HTUUuSVFfTkkuOTk3AQAAAGB8FAACAAAABi0zMTMuMQEIAAAABQAAAAExAQAAAAstMTk1NDQ2NjAyOAMAAAADMTYwAgAAAAIxNQQAAAABMAcAAAAIOS80LzIwMjYIAAAACTEvMjgvMjAyMwkAAAABMD//6QjyCt8IR1IMCfIK3wgRQ0lRLkdNRS5JUV9OSS45OTgBAAAAYHwUAAIAAAAD</t>
        </is>
      </c>
      <c r="BV1" t="inlineStr">
        <is>
          <t>Ni43AQgAAAAFAAAAATEBAAAACy0xOTAwMzk3MDM0AwAAAAMxNjACAAAAAjE1BAAAAAEwBwAAAAg5LzQvMjAyNggAAAAIMi8zLzIwMjQJAAAAATA//+kI8grfCEdSDAnyCt8IEUNJUS5HTUUuSVFfTkkuOTk5AQAAAGB8FAACAAAABTEzMS4zAQgAAAAFAAAAATEBAAAACy0xOTAwMzk3MDI3AwAAAAMxNjACAAAAAjE1BAAAAAEwBwAAAAg5LzQvMjAyNggAAAAIMi8xLzIwMjUJAAAAATA//+kI8grfCEdSDAnyCt8IEkNJUS5HTUUuSVFfTkkuMTAwMAEAAABgfBQAAgAAAAU0MTguNAEIAAAABQAAAAExAQAAAAstMTkwMDM5NzAxNgMAAAADMTYwAgAAAAIxNQQAAAABMAcAAAAIOS80LzIwMjYIAAAACTEvMzEvMjAyNgkAAAABMD//6QjyCt8IR1IMCfIK3wgSQ0lRLkdNRS5JUV9OSS4yMDAwAQAAAGB8FAACAAAABTc2My4yAQgAAAAFAAAAATEBAAAACy0xODg0NDI4NjE2AwAAAAMxNjACAAAAAjE1BAAAAAEwBwAAAAg5LzQvMjAyNggAAAAINS8yLzIwMjYJAAAAATA//+kI8grfCEdSDAnyCt8IFENJUS5HTUUuSVFfQ0FQRVguOTk2AQAAAGB8FAACAAAAAy02MgEIAAAABQAAAAExAQAAAAstMjAwNDY2MDYxMwMAAAADMTYwAgAAAAQyMDIxBAAAAAEwBwAAAAg5LzQvMjAyNggAAAAJMS8yOS8yMDIyCQAAAAEwP//pCPIK3whHUgwJ8grfCBRDSVEuR01FLklRX0NBUEVYLjk5NwEAAABgfBQAAgAAAAUtNTUuOQEIAAAABQAA</t>
        </is>
      </c>
      <c r="BW1" t="inlineStr">
        <is>
          <t>AAExAQAAAAstMTk1NDQ2NjAyOAMAAAADMTYwAgAAAAQyMDIxBAAAAAEwBwAAAAg5LzQvMjAyNggAAAAJMS8yOC8yMDIzCQAAAAEwP//pCPIK3whHUgwJ8grfCBRDSVEuR01FLklRX0NBUEVYLjk5OAEAAABgfBQAAgAAAAUtMzQuOQEIAAAABQAAAAExAQAAAAstMTkwMDM5NzAzNAMAAAADMTYwAgAAAAQyMDIxBAAAAAEwBwAAAAg5LzQvMjAyNggAAAAIMi8zLzIwMjQJAAAAATA//+kI8grfCEdSDAnyCt8IFENJUS5HTUUuSVFfQ0FQRVguOTk5AQAAAGB8FAACAAAABS0xNi4xAQgAAAAFAAAAATEBAAAACy0xOTAwMzk3MDI3AwAAAAMxNjACAAAABDIwMjEEAAAAATAHAAAACDkvNC8yMDI2CAAAAAgyLzEvMjAyNQkAAAABMD//6QjyCt8IR1IMCfIK3wgVQ0lRLkdNRS5JUV9DQVBFWC4xMDAwAQAAAGB8FAACAAAABS0xNy41AQgAAAAFAAAAATEBAAAACy0xOTAwMzk3MDE2AwAAAAMxNjACAAAABDIwMjEEAAAAATAHAAAACDkvNC8yMDI2CAAAAAkxLzMxLzIwMjYJAAAAATA//+kI8grfCEdSDAnyCt8IFUNJUS5HTUUuSVFfQ0FQRVguMjAwMAEAAABgfBQAAgAAAAUtMTkuMQEIAAAABQAAAAExAQAAAAstMTg4NDQyODYxNgMAAAADMTYwAgAAAAQyMDIxBAAAAAEwBwAAAAg5LzQvMjAyNggAAAAINS8yLzIwMjYJAAAAATA//+kI8grfCEdSDAnyCt8IHUNJUS5HTUUuSVFfU1RPQ0tfQkFTRURfQ0YuOTk2AQAAAGB8FAAC</t>
        </is>
      </c>
      <c r="BX1" t="inlineStr">
        <is>
          <t>AAAABDMwLjUBCAAAAAUAAAABMQEAAAALLTIwMDQ2NjA2MTMDAAAAAzE2MAIAAAAEMjEyNwQAAAABMAcAAAAIOS80LzIwMjYIAAAACTEvMjkvMjAyMgkAAAABMD//6QjyCt8IR1IMCfIK3wgdQ0lRLkdNRS5JUV9TVE9DS19CQVNFRF9DRi45OTcBAAAAYHwUAAIAAAAENDAuMQEIAAAABQAAAAExAQAAAAstMTk1NDQ2NjAyOAMAAAADMTYwAgAAAAQyMTI3BAAAAAEwBwAAAAg5LzQvMjAyNggAAAAJMS8yOC8yMDIzCQAAAAEwP//pCPIK3whHUgwJ8grfCB1DSVEuR01FLklRX1NUT0NLX0JBU0VEX0NGLjk5OAEAAABgfBQAAgAAAAQyMi4yAQgAAAAFAAAAATEBAAAACy0xOTAwMzk3MDM0AwAAAAMxNjACAAAABDIxMjcEAAAAATAHAAAACDkvNC8yMDI2CAAAAAgyLzMvMjAyNAkAAAABMD//6QjyCt8IR1IMCfIK3wgdQ0lRLkdNRS5JUV9TVE9DS19CQVNFRF9DRi45OTkBAAAAYHwUAAIAAAAEMTYuNAEIAAAABQAAAAExAQAAAAstMTkwMDM5NzAyNwMAAAADMTYwAgAAAAQyMTI3BAAAAAEwBwAAAAg5LzQvMjAyNggAAAAIMi8xLzIwMjUJAAAAATA//+kI8grfCEdSDAnyCt8IHkNJUS5HTUUuSVFfU1RPQ0tfQkFTRURfQ0YuMTAwMAEAAABgfBQAAgAAAAQyNi43AQgAAAAFAAAAATEBAAAACy0xOTAwMzk3MDE2AwAAAAMxNjACAAAABDIxMjcEAAAAATAHAAAACDkvNC8yMDI2CAAAAAkxLzMxLzIwMjYJAAAAATA//+kI8grf</t>
        </is>
      </c>
      <c r="BY1" t="inlineStr">
        <is>
          <t>CEdSDAnyCt8IHkNJUS5HTUUuSVFfU1RPQ0tfQkFTRURfQ0YuMjAwMAEAAABgfBQAAgAAAAQyOS43AQgAAAAFAAAAATEBAAAACy0xODg0NDI4NjE2AwAAAAMxNjACAAAABDIxMjcEAAAAATAHAAAACDkvNC8yMDI2CAAAAAg1LzIvMjAyNgkAAAABMD//6QjyCt8IR1IMCfIK3wggQ0lRLkdNRS5JUV9UT1RBTF9ESVZfUEFJRF9DRi45OTYBAAAAYHwUAAMAAAAAAD//6QjyCt8IR1IMCfIK3wggQ0lRLkdNRS5JUV9UT1RBTF9ESVZfUEFJRF9DRi45OTcBAAAAYHwUAAMAAAAAAD//6QjyCt8IR1IMCfIK3wggQ0lRLkdNRS5JUV9UT1RBTF9ESVZfUEFJRF9DRi45OTgBAAAAYHwUAAMAAAAAAD//6QjyCt8IR1IMCfIK3wggQ0lRLkdNRS5JUV9UT1RBTF9ESVZfUEFJRF9DRi45OTkBAAAAYHwUAAMAAAAAAD//6QjyCt8IR1IMCfIK3wghQ0lRLkdNRS5JUV9UT1RBTF9ESVZfUEFJRF9DRi4xMDAwAQAAAGB8FAADAAAAAAA//+kI8grfCEdSDAnyCt8IIUNJUS5HTUUuSVFfVE9UQUxfRElWX1BBSURfQ0YuMjAwMAEAAABgfBQAAwAAAAAAP//pCPIK3whHUgwJ8grfCBlDSVEuR01FLklRX0NPTU1PTl9SRVAuOTk2AQAAAGB8FAADAAAAAAA//+kI8grfCEdSDAnyCt8IGUNJUS5HTUUuSVFfQ09NTU9OX1JFUC45OTcBAAAAYHwUAAMAAAAAAD//6QjyCt8IR1IMCfIK3wgZQ0lRLkdNRS5JUV9DT01NT05fUkVQLjk5OAEAAABgfBQA</t>
        </is>
      </c>
      <c r="BZ1" t="inlineStr">
        <is>
          <t>AgAAAAQtOS41AQgAAAAFAAAAATEBAAAACy0xOTAwMzk3MDM0AwAAAAMxNjACAAAABDIxNjQEAAAAATAHAAAACDkvNC8yMDI2CAAAAAgyLzMvMjAyNAkAAAABMD//6QjyCt8IR1IMCfIK3wgZQ0lRLkdNRS5JUV9DT01NT05fUkVQLjk5OQEAAABgfBQAAgAAAAQtOC43AQgAAAAFAAAAATEBAAAACy0xOTAwMzk3MDI3AwAAAAMxNjACAAAABDIxNjQEAAAAATAHAAAACDkvNC8yMDI2CAAAAAgyLzEvMjAyNQkAAAABMD//6QjyCt8IR1IMCfIK3wgaQ0lRLkdNRS5JUV9DT01NT05fUkVQLjEwMDABAAAAYHwUAAIAAAAELTkuOQEIAAAABQAAAAExAQAAAAstMTkwMDM5NzAxNgMAAAADMTYwAgAAAAQyMTY0BAAAAAEwBwAAAAg5LzQvMjAyNggAAAAJMS8zMS8yMDI2CQAAAAEwP//pCPIK3whHUgwJ8grfCBpDSVEuR01FLklRX0NPTU1PTl9SRVAuMjAwMAEAAABgfBQAAgAAAAUtMTAuNQEIAAAABQAAAAExAQAAAAstMTg4NDQyODYxNgMAAAADMTYwAgAAAAQyMTY0BAAAAAEwBwAAAAg5LzQvMjAyNggAAAAINS8yLzIwMjYJAAAAATA//+kI8grfCNFXIhPyCt8IHUNJUS5HTUUuSVFfQ0FTSF9TVF9JTlZFU1QuOTk2AQAAAGB8FAACAAAABjEyNzEuNAEIAAAABQAAAAExAQAAAAstMjAwNDY2MDYxMwMAAAADMTYwAgAAAAQxMDAyBAAAAAEwBwAAAAg5LzQvMjAyNggAAAAJMS8yOS8yMDIyCQAAAAEwP//pCPIK3wg4KwwJ8grf</t>
        </is>
      </c>
      <c r="CA1" t="inlineStr">
        <is>
          <t>CB1DSVEuR01FLklRX0NBU0hfU1RfSU5WRVNULjk5NwEAAABgfBQAAgAAAAYxMzkwLjYBCAAAAAUAAAABMQEAAAALLTE5NTQ0NjYwMjgDAAAAAzE2MAIAAAAEMTAwMgQAAAABMAcAAAAIOS80LzIwMjYIAAAACTEvMjgvMjAyMwkAAAABMD//6QjyCt8IOCsMCfIK3wgdQ0lRLkdNRS5JUV9DQVNIX1NUX0lOVkVTVC45OTgBAAAAYHwUAAIAAAAGMTE5OS4zAQgAAAAFAAAAATEBAAAACy0xOTAwMzk3MDM0AwAAAAMxNjACAAAABDEwMDIEAAAAATAHAAAACDkvNC8yMDI2CAAAAAgyLzMvMjAyNAkAAAABMD//6QjyCt8IOCsMCfIK3wgdQ0lRLkdNRS5JUV9DQVNIX1NUX0lOVkVTVC45OTkBAAAAYHwUAAIAAAAGNDc3NC45AQgAAAAFAAAAATEBAAAACy0xOTAwMzk3MDI3AwAAAAMxNjACAAAABDEwMDIEAAAAATAHAAAACDkvNC8yMDI2CAAAAAgyLzEvMjAyNQkAAAABMD//6QjyCt8IR1IMCfIK3wgeQ0lRLkdNRS5JUV9DQVNIX1NUX0lOVkVTVC4xMDAwAQAAAGB8FAACAAAABjkwMTMuOAEIAAAABQAAAAExAQAAAAstMTkwMDM5NzAxNgMAAAADMTYwAgAAAAQxMDAyBAAAAAEwBwAAAAg5LzQvMjAyNggAAAAJMS8zMS8yMDI2CQAAAAEwP//pCPIK3whHUgwJ8grfCB5DSVEuR01FLklRX0NBU0hfU1RfSU5WRVNULjIwMDABAAAAYHwUAAIAAAAGODM2OC4xAQgAAAAFAAAAATEBAAAACy0xODg0NDI4NjE2AwAAAAMxNjACAAAA</t>
        </is>
      </c>
      <c r="CB1" t="inlineStr">
        <is>
          <t>BDEwMDIEAAAAATAHAAAACDkvNC8yMDI2CAAAAAg1LzIvMjAyNgkAAAABMD//6QjyCt8IOCsMCfIK3wgZQ0lRLkdNRS5JUV9UT1RBTF9ERUJULjk5NgEAAABgfBQAAgAAAAM2NDkBCAAAAAUAAAABMQEAAAALLTIwMDQ2NjA2MTMDAAAAAzE2MAIAAAAENDE3MwQAAAABMAcAAAAIOS80LzIwMjYIAAAACTEvMjkvMjAyMgkAAAABMD//6QjyCt8IOCsMCfIK3wgZQ0lRLkdNRS5JUV9UT1RBTF9ERUJULjk5NwEAAABgfBQAAgAAAAU2MTYuNgEIAAAABQAAAAExAQAAAAstMTk1NDQ2NjAyOAMAAAADMTYwAgAAAAQ0MTczBAAAAAEwBwAAAAg5LzQvMjAyNggAAAAJMS8yOC8yMDIzCQAAAAEwP//pCPIK3wg4KwwJ8grfCBlDSVEuR01FLklRX1RPVEFMX0RFQlQuOTk4AQAAAGB8FAACAAAABTYwMi44AQgAAAAFAAAAATEBAAAACy0xOTAwMzk3MDM0AwAAAAMxNjACAAAABDQxNzMEAAAAATAHAAAACDkvNC8yMDI2CAAAAAgyLzMvMjAyNAkAAAABMD//6QjyCt8IOCsMCfIK3wgZQ0lRLkdNRS5JUV9UT1RBTF9ERUJULjk5OQEAAABgfBQAAgAAAAU0MTAuNwEIAAAABQAAAAExAQAAAAstMTkwMDM5NzAyNwMAAAADMTYwAgAAAAQ0MTczBAAAAAEwBwAAAAg5LzQvMjAyNggAAAAIMi8xLzIwMjUJAAAAATA//+kI8grfCDgrDAnyCt8IGkNJUS5HTUUuSVFfVE9UQUxfREVCVC4xMDAwAQAAAGB8FAACAAAABjQzNjEuOQEIAAAABQAA</t>
        </is>
      </c>
      <c r="CC1" t="inlineStr">
        <is>
          <t>AAExAQAAAAstMTkwMDM5NzAxNgMAAAADMTYwAgAAAAQ0MTczBAAAAAEwBwAAAAg5LzQvMjAyNggAAAAJMS8zMS8yMDI2CQAAAAEwP//pCPIK3wg4KwwJ8grfCBpDSVEuR01FLklRX1RPVEFMX0RFQlQuMjAwMAEAAABgfBQAAgAAAAY0MzM5LjEBCAAAAAUAAAABMQEAAAALLTE4ODQ0Mjg2MTYDAAAAAzE2MAIAAAAENDE3MwQAAAABMAcAAAAIOS80LzIwMjYIAAAACDUvMi8yMDI2CQAAAAEwP//pCPIK3wg4KwwJ8grfCBtDSVEuR01FLklRX1RPVEFMX0VRVUlUWS45OTYBAAAAYHwUAAIAAAAGMTYwMi41AQgAAAAFAAAAATEBAAAACy0yMDA0NjYwNjEzAwAAAAMxNjACAAAABDEyNzUEAAAAATAHAAAACDkvNC8yMDI2CAAAAAkxLzI5LzIwMjIJAAAAATA//+kI8grfCDgrDAnyCt8IG0NJUS5HTUUuSVFfVE9UQUxfRVFVSVRZLjk5NwEAAABgfBQAAgAAAAYxMzIyLjMBCAAAAAUAAAABMQEAAAALLTE5NTQ0NjYwMjgDAAAAAzE2MAIAAAAEMTI3NQQAAAABMAcAAAAIOS80LzIwMjYIAAAACTEvMjgvMjAyMwkAAAABMD//6QjyCt8IOCsMCfIK3wgbQ0lRLkdNRS5JUV9UT1RBTF9FUVVJVFkuOTk4AQAAAGB8FAACAAAABjEzMzguNgEIAAAABQAAAAExAQAAAAstMTkwMDM5NzAzNAMAAAADMTYwAgAAAAQxMjc1BAAAAAEwBwAAAAg5LzQvMjAyNggAAAAIMi8zLzIwMjQJAAAAATA//+kI8grfCDgrDAnyCt8IG0NJUS5HTUUu</t>
        </is>
      </c>
      <c r="CD1" t="inlineStr">
        <is>
          <t>SVFfVE9UQUxfRVFVSVRZLjk5OQEAAABgfBQAAgAAAAY0OTI5LjgBCAAAAAUAAAABMQEAAAALLTE5MDAzOTcwMjcDAAAAAzE2MAIAAAAEMTI3NQQAAAABMAcAAAAIOS80LzIwMjYIAAAACDIvMS8yMDI1CQAAAAEwP//pCPIK3wg4KwwJ8grfCBxDSVEuR01FLklRX1RPVEFMX0VRVUlUWS4xMDAwAQAAAGB8FAACAAAABjU0NDQuNAEIAAAABQAAAAExAQAAAAstMTkwMDM5NzAxNgMAAAADMTYwAgAAAAQxMjc1BAAAAAEwBwAAAAg5LzQvMjAyNggAAAAJMS8zMS8yMDI2CQAAAAEwP//pCPIK3wg4KwwJ8grfCBxDSVEuR01FLklRX1RPVEFMX0VRVUlUWS4yMDAwAQAAAGB8FAACAAAABjU4NDIuMQEIAAAABQAAAAExAQAAAAstMTg4NDQyODYxNgMAAAADMTYwAgAAAAQxMjc1BAAAAAEwBwAAAAg5LzQvMjAyNggAAAAINS8yLzIwMjYJAAAAATA//+kI8grfCDgrDAnyCt8IG0NJUS5HTUUuSVFfVE9UQUxfQVNTRVRTLjk5NgEAAABgfBQAAgAAAAYzNDk5LjMBCAAAAAUAAAABMQEAAAALLTIwMDQ2NjA2MTMDAAAAAzE2MAIAAAAEMTAwNwQAAAABMAcAAAAIOS80LzIwMjYIAAAACTEvMjkvMjAyMgkAAAABMD//6QjyCt8IOCsMCfIK3wgbQ0lRLkdNRS5JUV9UT1RBTF9BU1NFVFMuOTk3AQAAAGB8FAACAAAABjMxMTMuNAEIAAAABQAAAAExAQAAAAstMTk1NDQ2NjAyOAMAAAADMTYwAgAAAAQxMDA3BAAAAAEwBwAAAAg5LzQv</t>
        </is>
      </c>
      <c r="CE1" t="inlineStr">
        <is>
          <t>MjAyNggAAAAJMS8yOC8yMDIzCQAAAAEwP//pCPIK3wg4KwwJ8grfCBtDSVEuR01FLklRX1RPVEFMX0FTU0VUUy45OTgBAAAAYHwUAAIAAAAEMjcwOQEIAAAABQAAAAExAQAAAAstMTkwMDM5NzAzNAMAAAADMTYwAgAAAAQxMDA3BAAAAAEwBwAAAAg5LzQvMjAyNggAAAAIMi8zLzIwMjQJAAAAATA//+kI8grfCDgrDAnyCt8IG0NJUS5HTUUuSVFfVE9UQUxfQVNTRVRTLjk5OQEAAABgfBQAAgAAAAY1ODc1LjQBCAAAAAUAAAABMQEAAAALLTE5MDAzOTcwMjcDAAAAAzE2MAIAAAAEMTAwNwQAAAABMAcAAAAIOS80LzIwMjYIAAAACDIvMS8yMDI1CQAAAAEwP//pCPIK3wg4KwwJ8grfCBxDSVEuR01FLklRX1RPVEFMX0FTU0VUUy4xMDAwAQAAAGB8FAACAAAABzEwMzg4LjQBCAAAAAUAAAABMQEAAAALLTE5MDAzOTcwMTYDAAAAAzE2MAIAAAAEMTAwNwQAAAABMAcAAAAIOS80LzIwMjYIAAAACTEvMzEvMjAyNgkAAAABMD//6QjyCt8IOCsMCfIK3wgcQ0lRLkdNRS5JUV9UT1RBTF9BU1NFVFMuMjAwMAEAAABgfBQAAgAAAAcxMDk3NC4zAQgAAAAFAAAAATEBAAAACy0xODg0NDI4NjE2AwAAAAMxNjACAAAABDEwMDcEAAAAATAHAAAACDkvNC8yMDI2CAAAAAg1LzIvMjAyNgkAAAABMD//6QjyCt8IOCsMCfIK3wgbQ0lRLkdNRS5JUV9ESUxVVF9XRUlHSFQuOTk2AQAAAGB8FAACAAAABTI5MC40AD//6QjyCt8IOCsM</t>
        </is>
      </c>
      <c r="CF1" t="inlineStr">
        <is>
          <t>CfIK3wgbQ0lRLkdNRS5JUV9ESUxVVF9XRUlHSFQuOTk3AQAAAGB8FAACAAAABTMwNC4yAD//6QjyCt8IOCsMCfIK3wgbQ0lRLkdNRS5JUV9ESUxVVF9XRUlHSFQuOTk4AQAAAGB8FAACAAAABTMwNS4yAD//6QjyCt8IOCsMCfIK3wgbQ0lRLkdNRS5JUV9ESUxVVF9XRUlHSFQuOTk5AQAAAGB8FAACAAAABTM5NC43AD//6QjyCt8IOCsMCfIK3wgcQ0lRLkdNRS5JUV9ESUxVVF9XRUlHSFQuMTAwMAEAAABgfBQAAgAAAAU1NDkuMQA//+kI8grfCDgrDAnyCt8IHENJUS5HTUUuSVFfRElMVVRfV0VJR0hULjIwMDABAAAAYHwUAAIAAAAFNTcyLjcAP//pCPIK3wg4KwwJ8grfCB9DSVEuR01FLklRX0NBU0hfT1BFUi4uMDUtU0VQLTI2AQAAAGB8FAACAAAABTc1OS43AQgAAAAFAAAAATEBAAAACy0xODg0NDI4NjE2AwAAAAMxNjACAAAABDIwMDYEAAAAATAHAAAACDkvNS8yMDI2CAAAAAg1LzIvMjAyNgkAAAABMD//6QjyCt8I0VciE/IK3wgbQ0lRLkdNRS5JUV9DQVBFWC4uMDUtU0VQLTI2AQAAAGB8FAACAAAABS0xOS4xAQgAAAAFAAAAATEBAAAACy0xODg0NDI4NjE2AwAAAAMxNjACAAAABDIwMjEEAAAAATAHAAAACDkvNS8yMDI2CAAAAAg1LzIvMjAyNgkAAAABMD//6QjyCt8I0VciE/IK3wgkQ0lRLkdNRS5JUV9DQVNIX1NUX0lOVkVTVC4uMDUtU0VQLTI2AQAAAGB8FAACAAAABjgzNjguMQEIAAAABQAAAAEx</t>
        </is>
      </c>
      <c r="CG1" t="inlineStr">
        <is>
          <t>AQAAAAstMTg4NDQyODYxNgMAAAADMTYwAgAAAAQxMDAyBAAAAAEwBwAAAAg5LzUvMjAyNggAAAAINS8yLzIwMjYJAAAAATA//+kI8grfCNFXIhPyCt8IIENJUS5HTUUuSVFfVE9UQUxfREVCVC4uMDUtU0VQLTI2AQAAAGB8FAACAAAABjQzMzkuMQEIAAAABQAAAAExAQAAAAstMTg4NDQyODYxNgMAAAADMTYwAgAAAAQ0MTczBAAAAAEwBwAAAAg5LzUvMjAyNggAAAAINS8yLzIwMjYJAAAAATA//+kI8grfCNFXIhPyCt8IGUNJUS5HTUUuSVFfSU5TSURFUl9TSEFSRVMBAAAAYHwUAAEAAAAIMzgzNDc4NDIBBQAAAAUAAAACMjEBAAAACTI3NDcxMzY4NAIAAAAHMTM0MjU2MAYAAAABMQcAAAABMT//6QjyCt8IAO8MCfIK3wgUQ0lRLkdNRS5JUV9CRVRBXzVZUi4BAAAAYHwUAAIAAAAQMS43MTM5ODA5NTg5NTg0OQDLczEJ8grfCPNKRAnyCt8IKUNJUS5HTUUuSVFfVE9UQUxfT1VUU1RBTkRJTkdfQlNfREFURV9DUy4uAQAAAGB8FAACAAAABTQ0OC43AQkAAAAFAAAAAjE5AQAAAAgyOTg1MTU4OQIAAAAFMzI2NjIJAAAAAi0xAwAAAAEwBgAAAAk2LzE3LzIwMjYHAAAACDkvNC8yMDI2CAAAAAEwBAAAAAEwy3MxCfIK3wjzSkQJ8grfCBdDSVEuR01FLklRX1RFVl9FQklUREEuLgEAAABgfBQAAgAAABA3LjIzNjMxNjAxNDQ0NzUyAQcAAAAFAAAAATEBAAAACy0xODg0NDI4NjE2AwAAAAEwAgAAAAYxMDAwNjMEAAAA</t>
        </is>
      </c>
      <c r="CH1" t="inlineStr">
        <is>
          <t>ATAHAAAACDkvNC8yMDI2CAAAAAg5LzQvMjAyNstzMQnyCt8I80pECfIK3wgQQ0lRLkdNRS5JUV9QQlYuLgEAAABgfBQAAgAAABAxLjQ3MTU3NTczODg3NzMzAQcAAAAFAAAAATEBAAAACy0xODg0NDI4NjE2AwAAAAEwAgAAAAYxMDAwNjcEAAAAATAHAAAACDkvNC8yMDI2CAAAAAg5LzQvMjAyNstzMQnyCt8I80pECfIK3wgaQ0lRLkdNRS5JUV9URVZfVE9UQUxfUkVWLi4BAAAAYHwUAAIAAAAPMS4yMjM3MjYwMTkxMDYzAQcAAAAFAAAAATEBAAAACy0xODg0NDI4NjE2AwAAAAEwAgAAAAYxMDAwNjEEAAAAATAHAAAACDkvNC8yMDI2CAAAAAg5LzQvMjAyNstzMQnyCt8I80pECfIK3wgTQ0lRLkdNRS5JUV9ZRUFSTE9XLgEAAABgfBQAAgAAAAUxNy43OQDLczEJ8grfCPNKRAnyCt8IFkNJUS5HTUUuSVFfQ0xPU0VQUklDRS4BAAAAYHwUAAIAAAAFMTkuMTYAy3MxCfIK3wjzSkQJ8grfCBVDSVEuR01FLklRX01BUktFVENBUC4BAAAAYHwUAAIAAAALODU5Ni45MjQ0ODQBBgAAAAUAAAABMQEAAAALLTE4ODQ0Mjk3MjgDAAAAAzE2MAIAAAAGMTAwMDU0BAAAAAEwBwAAAAg5LzQvMjAyNstzMQnyCt8I80pECfIK3wgPQ0lRLkdNRS5JUV9URVYuAQAAAGB8FAACAAAACzQ1NjcuOTI0NDg0AQYAAAAFAAAAATEBAAAACy0xODg0NDI5NzI4AwAAAAMxNjACAAAABjEwMDA2MAQAAAABMAcAAAAIOS80LzIwMjbLczEJ8grf</t>
        </is>
      </c>
      <c r="CI1" t="inlineStr">
        <is>
          <t>CPNKRAnyCt8IIkNJUS5HTUUuSVFfU0hBUkVTT1VUU1RBTkRJTkdfT1VULi4BAAAAYHwUAAIAAAAKNDQ4LjY5MTI1NwDLczEJ8grfCPNKRAnyCt8IGkNJUS5HTUUuSVFfRElWSURFTkRfWUlFTEQuAQAAAGB8FAADAAAAAADLczEJ8grfCPNKRAnyCt8IFENJUS5HTUUuSVFfWUVBUkhJR0guAQAAAGB8FAACAAAABDI4LjEAy3MxCfIK3wjzSkQJ8grfCBZDSVEuR01FLklRX01BUktFVENBUC4uAQAAAGB8FAACAAAACzg1OTYuOTI0NDg0AQYAAAAFAAAAATEBAAAACy0xODg0NDI5NzI4AwAAAAMxNjACAAAABjEwMDA1NAQAAAABMAcAAAAIOS80LzIwMjbLczEJ8grfCLEkRAnyCt8IEENJUS5HTUUuSVFfVEVWLi4BAAAAYHwUAAIAAAALNDU2Ny45MjQ0ODQBBgAAAAUAAAABMQEAAAALLTE4ODQ0Mjk3MjgDAAAAAzE2MAIAAAAGMTAwMDYwBAAAAAEwBwAAAAg5LzQvMjAyNstzMQnyCt8I80pECfIK3wgXQ0lRLkdNRS5JUV9UT1RBTF9ERUJULi4BAAAAYHwUAAIAAAAGNDMzOS4xAQgAAAAFAAAAATEBAAAACy0xODg0NDI4NjE2AwAAAAMxNjACAAAABDQxNzMEAAAAATAHAAAACDkvNC8yMDI2CAAAAAg1LzIvMjAyNgkAAAABMMtzMQnyCt8IsSRECfIK3wgbQ0lRLkdNRS5JUV9DQVNIX1NUX0lOVkVTVC4uAQAAAGB8FAACAAAABjgzNjguMQEIAAAABQAAAAExAQAAAAstMTg4NDQyODYxNgMAAAADMTYwAgAAAAQxMDAyBAAA</t>
        </is>
      </c>
      <c r="CJ1" t="inlineStr">
        <is>
          <t>AAEwBwAAAAg5LzQvMjAyNggAAAAINS8yLzIwMjYJAAAAATDLczEJ8grfCLEkRAnyCt8I</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M54"/>
  <sheetViews>
    <sheetView tabSelected="1" zoomScale="70" zoomScaleNormal="70" workbookViewId="0">
      <pane ySplit="6" topLeftCell="A19" activePane="bottomLeft" state="frozen"/>
      <selection pane="bottomLeft" activeCell="P39" sqref="P39"/>
    </sheetView>
  </sheetViews>
  <sheetFormatPr baseColWidth="8" defaultRowHeight="15"/>
  <cols>
    <col width="15" customWidth="1" style="90" min="1" max="1"/>
    <col width="20" customWidth="1" style="90" min="2" max="2"/>
    <col width="26" customWidth="1" style="90" min="3" max="3"/>
    <col width="67.85546875" bestFit="1" customWidth="1" style="90" min="4" max="4"/>
    <col width="26" customWidth="1" style="90" min="5" max="5"/>
    <col width="12" customWidth="1" style="90" min="6" max="6"/>
  </cols>
  <sheetData>
    <row r="1" ht="24" customHeight="1" s="90">
      <c r="A1" s="91" t="inlineStr">
        <is>
          <t>DENNIS — data · latest snapshot (formulas pre-filled)</t>
        </is>
      </c>
    </row>
    <row r="2" ht="24" customHeight="1" s="90">
      <c r="A2" s="91" t="n"/>
      <c r="B2" t="inlineStr">
        <is>
          <t>Refinitiv</t>
        </is>
      </c>
      <c r="C2" t="inlineStr">
        <is>
          <t>Capital IQ</t>
        </is>
      </c>
      <c r="D2" s="51" t="inlineStr">
        <is>
          <t>RIC override (optional, wins if set) →</t>
        </is>
      </c>
      <c r="E2" s="52" t="n"/>
    </row>
    <row r="3">
      <c r="A3" s="1" t="inlineStr">
        <is>
          <t>Ticker / RIC -&gt;</t>
        </is>
      </c>
      <c r="B3" s="53">
        <f>IF($E$2&lt;&gt;"",$E$2,C3&amp;_RICMap!$E$1)</f>
        <v/>
      </c>
      <c r="C3" s="40" t="inlineStr">
        <is>
          <t>GME</t>
        </is>
      </c>
    </row>
    <row r="4">
      <c r="A4" s="89" t="inlineStr">
        <is>
          <t>Green=auto add-in formula (verify mnemonic in last col). Grey=computed. Yellow=you set. % in points; currency absolute.</t>
        </is>
      </c>
    </row>
    <row r="6" ht="26.1" customHeight="1" s="90">
      <c r="A6" s="2" t="inlineStr">
        <is>
          <t>Section</t>
        </is>
      </c>
      <c r="B6" s="2" t="inlineStr">
        <is>
          <t>field_key</t>
        </is>
      </c>
      <c r="C6" s="2" t="inlineStr">
        <is>
          <t>Label</t>
        </is>
      </c>
      <c r="D6" s="41" t="inlineStr">
        <is>
          <t>Value (Capital IQ) MM</t>
        </is>
      </c>
      <c r="E6" s="2" t="inlineStr">
        <is>
          <t>Field mnemonic (verify)</t>
        </is>
      </c>
      <c r="F6" s="2" t="inlineStr">
        <is>
          <t>Priority</t>
        </is>
      </c>
    </row>
    <row r="7">
      <c r="A7" s="3" t="inlineStr">
        <is>
          <t>Identity</t>
        </is>
      </c>
      <c r="B7" s="4" t="inlineStr">
        <is>
          <t>company_name</t>
        </is>
      </c>
      <c r="C7" s="5" t="inlineStr">
        <is>
          <t>Company Name</t>
        </is>
      </c>
      <c r="D7" s="6">
        <f>_xll.ciqfunctions.udf.CIQ(C3, "IQ_COMPANY_NAME")</f>
        <v/>
      </c>
      <c r="E7" s="7" t="inlineStr">
        <is>
          <t>TR.CommonName</t>
        </is>
      </c>
      <c r="F7" s="8" t="inlineStr">
        <is>
          <t>Required</t>
        </is>
      </c>
    </row>
    <row r="8">
      <c r="A8" s="9" t="n"/>
      <c r="B8" s="4" t="inlineStr">
        <is>
          <t>ticker</t>
        </is>
      </c>
      <c r="C8" s="5" t="inlineStr">
        <is>
          <t>Ticker</t>
        </is>
      </c>
      <c r="D8" s="10">
        <f>$C$3</f>
        <v/>
      </c>
      <c r="E8" s="80" t="inlineStr">
        <is>
          <t>plain ticker (RIC lives in B3, used by Peers)</t>
        </is>
      </c>
      <c r="F8" s="8" t="inlineStr">
        <is>
          <t>Required</t>
        </is>
      </c>
    </row>
    <row r="9">
      <c r="A9" s="9" t="n"/>
      <c r="B9" s="4" t="inlineStr">
        <is>
          <t>exchange</t>
        </is>
      </c>
      <c r="C9" s="5" t="inlineStr">
        <is>
          <t>Exchange</t>
        </is>
      </c>
      <c r="D9" s="6">
        <f>_xll.ciqfunctions.udf.CIQ(C3, "IQ_EXCHANGE")</f>
        <v/>
      </c>
      <c r="E9" s="7" t="inlineStr">
        <is>
          <t>TR.ExchangeName</t>
        </is>
      </c>
      <c r="F9" s="11" t="inlineStr">
        <is>
          <t>Recommended</t>
        </is>
      </c>
    </row>
    <row r="10">
      <c r="A10" s="9" t="n"/>
      <c r="B10" s="4" t="inlineStr">
        <is>
          <t>sector</t>
        </is>
      </c>
      <c r="C10" s="5" t="inlineStr">
        <is>
          <t>GICS Sector</t>
        </is>
      </c>
      <c r="D10" s="6">
        <f>_xll.ciqfunctions.udf.CIQ(C3, "IQ_INDUSTRY_SECTOR")</f>
        <v/>
      </c>
      <c r="E10" s="7" t="inlineStr">
        <is>
          <t>TR.GICSSector</t>
        </is>
      </c>
      <c r="F10" s="11" t="inlineStr">
        <is>
          <t>Recommended</t>
        </is>
      </c>
    </row>
    <row r="11">
      <c r="A11" s="9" t="n"/>
      <c r="B11" s="4" t="inlineStr">
        <is>
          <t>industry</t>
        </is>
      </c>
      <c r="C11" s="5" t="inlineStr">
        <is>
          <t>Industry</t>
        </is>
      </c>
      <c r="D11" s="6">
        <f>_xll.ciqfunctions.udf.CIQ(C3, "IQ_PRIMARY_INDUSTRY")</f>
        <v/>
      </c>
      <c r="E11" s="7" t="inlineStr">
        <is>
          <t>TR.GICSIndustry</t>
        </is>
      </c>
      <c r="F11" s="12" t="inlineStr">
        <is>
          <t>Optional</t>
        </is>
      </c>
    </row>
    <row r="12">
      <c r="A12" s="9" t="n"/>
      <c r="B12" s="4" t="inlineStr">
        <is>
          <t>country</t>
        </is>
      </c>
      <c r="C12" s="5" t="inlineStr">
        <is>
          <t>Country</t>
        </is>
      </c>
      <c r="D12" s="6">
        <f>TRIM(RIGHT(SUBSTITUTE(_xll.ciqfunctions.udf.CIQ(C3,"IQ_COMPANY_ADDRESS"),",",REPT(" ",200)),200))</f>
        <v/>
      </c>
      <c r="E12" s="7" t="inlineStr">
        <is>
          <t>computed: the last part of IQ_COMPANY_ADDRESS (the whole address before)</t>
        </is>
      </c>
      <c r="F12" s="12" t="inlineStr">
        <is>
          <t>Optional</t>
        </is>
      </c>
    </row>
    <row r="13">
      <c r="A13" s="9" t="n"/>
      <c r="B13" s="4" t="inlineStr">
        <is>
          <t>currency</t>
        </is>
      </c>
      <c r="C13" s="5" t="inlineStr">
        <is>
          <t>Reporting Currency</t>
        </is>
      </c>
      <c r="D13" s="6">
        <f>_xll.ciqfunctions.udf.CIQ(C3, "IQ_FILING_CURRENCY_CS")</f>
        <v/>
      </c>
      <c r="E13" s="7" t="inlineStr">
        <is>
          <t>TR.FinancialCurrency</t>
        </is>
      </c>
      <c r="F13" s="11" t="inlineStr">
        <is>
          <t>Recommended</t>
        </is>
      </c>
    </row>
    <row r="14">
      <c r="A14" s="9" t="n"/>
      <c r="B14" s="4" t="inlineStr">
        <is>
          <t>as_of_date</t>
        </is>
      </c>
      <c r="C14" s="5" t="inlineStr">
        <is>
          <t>As-of Date</t>
        </is>
      </c>
      <c r="D14" s="13">
        <f>TODAY()</f>
        <v/>
      </c>
      <c r="E14" s="7" t="n"/>
      <c r="F14" s="8" t="inlineStr">
        <is>
          <t>Required</t>
        </is>
      </c>
    </row>
    <row r="15">
      <c r="A15" s="3" t="inlineStr">
        <is>
          <t>Price &amp; Size</t>
        </is>
      </c>
      <c r="B15" s="4" t="inlineStr">
        <is>
          <t>price</t>
        </is>
      </c>
      <c r="C15" s="5" t="inlineStr">
        <is>
          <t>Price</t>
        </is>
      </c>
      <c r="D15" s="14">
        <f>_xll.ciqfunctions.udf.CIQ(C3, "IQ_CLOSEPRICE", D14)</f>
        <v/>
      </c>
      <c r="E15" s="7" t="inlineStr">
        <is>
          <t>TR.PriceClose</t>
        </is>
      </c>
      <c r="F15" s="8" t="inlineStr">
        <is>
          <t>Required</t>
        </is>
      </c>
    </row>
    <row r="16">
      <c r="A16" s="9" t="n"/>
      <c r="B16" s="4" t="inlineStr">
        <is>
          <t>market_cap</t>
        </is>
      </c>
      <c r="C16" s="5" t="inlineStr">
        <is>
          <t>Market Cap</t>
        </is>
      </c>
      <c r="D16" s="15">
        <f>_xll.ciqfunctions.udf.CIQ(C3, "IQ_MARKETCAP", D14)</f>
        <v/>
      </c>
      <c r="E16" s="7" t="inlineStr">
        <is>
          <t>TR.CompanyMarketCap</t>
        </is>
      </c>
      <c r="F16" s="8" t="inlineStr">
        <is>
          <t>Required</t>
        </is>
      </c>
    </row>
    <row r="17">
      <c r="A17" s="9" t="n"/>
      <c r="B17" s="4" t="inlineStr">
        <is>
          <t>enterprise_value</t>
        </is>
      </c>
      <c r="C17" s="5" t="inlineStr">
        <is>
          <t>Enterprise Value</t>
        </is>
      </c>
      <c r="D17" s="15">
        <f>_xll.ciqfunctions.udf.CIQ(C3, "IQ_TEV", D14)</f>
        <v/>
      </c>
      <c r="E17" s="7" t="inlineStr">
        <is>
          <t>TR.EV</t>
        </is>
      </c>
      <c r="F17" s="11" t="inlineStr">
        <is>
          <t>Recommended</t>
        </is>
      </c>
    </row>
    <row r="18">
      <c r="A18" s="9" t="n"/>
      <c r="B18" s="4" t="inlineStr">
        <is>
          <t>shares_out</t>
        </is>
      </c>
      <c r="C18" s="5" t="inlineStr">
        <is>
          <t>Shares Outstanding</t>
        </is>
      </c>
      <c r="D18" s="16">
        <f>_xll.ciqfunctions.udf.CIQ(C3, "IQ_TOTAL_OUTSTANDING_BS_DATE_CS", , D14)</f>
        <v/>
      </c>
      <c r="E18" s="7" t="inlineStr">
        <is>
          <t>TR.SharesOutstanding</t>
        </is>
      </c>
      <c r="F18" s="8" t="inlineStr">
        <is>
          <t>Required</t>
        </is>
      </c>
    </row>
    <row r="19">
      <c r="A19" s="9" t="n"/>
      <c r="B19" s="42" t="inlineStr">
        <is>
          <t>shares_dill_out</t>
        </is>
      </c>
      <c r="C19" s="43" t="inlineStr">
        <is>
          <t>Diluted Shares (latest quarter)</t>
        </is>
      </c>
      <c r="D19" s="16">
        <f>Quarters!J22</f>
        <v/>
      </c>
      <c r="E19" s="7" t="inlineStr">
        <is>
          <t>computed: Quarters!J22, IQ_DILUT_WEIGHT for the latest quarter (IQ_SHARESOUTSTANDING_OUT was the basic count again)</t>
        </is>
      </c>
      <c r="F19" s="8" t="inlineStr">
        <is>
          <t>Optional</t>
        </is>
      </c>
    </row>
    <row r="20">
      <c r="A20" s="9" t="n"/>
      <c r="B20" s="4" t="inlineStr">
        <is>
          <t>avg_volume_3m</t>
        </is>
      </c>
      <c r="C20" s="5" t="inlineStr">
        <is>
          <t>Avg Daily Volume (3m)</t>
        </is>
      </c>
      <c r="D20" s="16">
        <f>_xll.ciqfunctions.udf.CIQAVG(C3, "IQ_VOLUME", "-3M")</f>
        <v/>
      </c>
      <c r="E20" s="7" t="inlineStr">
        <is>
          <t>TR.AvgDailyVolume3M</t>
        </is>
      </c>
      <c r="F20" s="12" t="inlineStr">
        <is>
          <t>Optional</t>
        </is>
      </c>
    </row>
    <row r="21">
      <c r="A21" s="9" t="n"/>
      <c r="B21" s="4" t="inlineStr">
        <is>
          <t>beta</t>
        </is>
      </c>
      <c r="C21" s="5" t="inlineStr">
        <is>
          <t>Beta (5y)</t>
        </is>
      </c>
      <c r="D21" s="17">
        <f>_xll.ciqfunctions.udf.CIQ(C3, "IQ_BETA_5YR", D14)</f>
        <v/>
      </c>
      <c r="E21" s="7" t="inlineStr">
        <is>
          <t>TR.Beta</t>
        </is>
      </c>
      <c r="F21" s="12" t="inlineStr">
        <is>
          <t>Optional</t>
        </is>
      </c>
    </row>
    <row r="22">
      <c r="A22" s="9" t="n"/>
      <c r="B22" s="4" t="inlineStr">
        <is>
          <t>week52_high</t>
        </is>
      </c>
      <c r="C22" s="5" t="inlineStr">
        <is>
          <t>52-Week High</t>
        </is>
      </c>
      <c r="D22" s="14">
        <f>_xll.ciqfunctions.udf.CIQ(C3, "IQ_YEARHIGH", D14)</f>
        <v/>
      </c>
      <c r="E22" s="7" t="inlineStr">
        <is>
          <t>TR.Price52WeekHigh</t>
        </is>
      </c>
      <c r="F22" s="11" t="inlineStr">
        <is>
          <t>Recommended</t>
        </is>
      </c>
    </row>
    <row r="23">
      <c r="A23" s="9" t="n"/>
      <c r="B23" s="4" t="inlineStr">
        <is>
          <t>week52_low</t>
        </is>
      </c>
      <c r="C23" s="5" t="inlineStr">
        <is>
          <t>52-Week Low</t>
        </is>
      </c>
      <c r="D23" s="14">
        <f>_xll.ciqfunctions.udf.CIQ(C3, "IQ_YEARLOW", D14)</f>
        <v/>
      </c>
      <c r="E23" s="7" t="inlineStr">
        <is>
          <t>TR.Price52WeekLow</t>
        </is>
      </c>
      <c r="F23" s="11" t="inlineStr">
        <is>
          <t>Recommended</t>
        </is>
      </c>
    </row>
    <row r="24">
      <c r="A24" s="9" t="n"/>
      <c r="B24" s="4" t="inlineStr">
        <is>
          <t>pct_from_52w_high</t>
        </is>
      </c>
      <c r="C24" s="5" t="inlineStr">
        <is>
          <t>% From 52w High</t>
        </is>
      </c>
      <c r="D24" s="45">
        <f>D15/D22-1</f>
        <v/>
      </c>
      <c r="E24" s="7" t="inlineStr">
        <is>
          <t>computed</t>
        </is>
      </c>
      <c r="F24" s="11" t="inlineStr">
        <is>
          <t>Recommended</t>
        </is>
      </c>
    </row>
    <row r="25">
      <c r="A25" s="3" t="inlineStr">
        <is>
          <t>Valuation (now)</t>
        </is>
      </c>
      <c r="B25" s="4" t="inlineStr">
        <is>
          <t>pe_ttm</t>
        </is>
      </c>
      <c r="C25" s="5" t="inlineStr">
        <is>
          <t>P/E (TTM)</t>
        </is>
      </c>
      <c r="D25" s="19">
        <f>_xll.ciqfunctions.udf.CIQ(C3, "IQ_PE_EXCL", IQ_LTM)</f>
        <v/>
      </c>
      <c r="E25" s="7" t="inlineStr">
        <is>
          <t>TR.PE</t>
        </is>
      </c>
      <c r="F25" s="8" t="inlineStr">
        <is>
          <t>Required</t>
        </is>
      </c>
    </row>
    <row r="26">
      <c r="A26" s="9" t="n"/>
      <c r="B26" s="4" t="inlineStr">
        <is>
          <t>forward_pe</t>
        </is>
      </c>
      <c r="C26" s="5" t="inlineStr">
        <is>
          <t>Forward P/E</t>
        </is>
      </c>
      <c r="D26" s="19">
        <f>_xll.ciqfunctions.udf.CIQ(C3, "IQ_PE_EXCL_FWD_CIQ", IQ_NTM)</f>
        <v/>
      </c>
      <c r="E26" s="7" t="inlineStr">
        <is>
          <t>IQ_PE_EXCL_FWD_CIQ</t>
        </is>
      </c>
      <c r="F26" s="11" t="inlineStr">
        <is>
          <t>Recommended</t>
        </is>
      </c>
    </row>
    <row r="27">
      <c r="A27" s="9" t="n"/>
      <c r="B27" s="4" t="inlineStr">
        <is>
          <t>ps_ttm</t>
        </is>
      </c>
      <c r="C27" s="5" t="inlineStr">
        <is>
          <t>P/S (TTM)</t>
        </is>
      </c>
      <c r="D27" s="19">
        <f>_xll.ciqfunctions.udf.CIQ(C3, "IQ_PRICE_SALES", IQ_LTM)</f>
        <v/>
      </c>
      <c r="E27" s="7" t="inlineStr">
        <is>
          <t>TR.PriceToSalesPerShare</t>
        </is>
      </c>
      <c r="F27" s="8" t="inlineStr">
        <is>
          <t>Required</t>
        </is>
      </c>
    </row>
    <row r="28">
      <c r="A28" s="9" t="n"/>
      <c r="B28" s="4" t="inlineStr">
        <is>
          <t>ev_ebitda</t>
        </is>
      </c>
      <c r="C28" s="5" t="inlineStr">
        <is>
          <t>EV / EBITDA</t>
        </is>
      </c>
      <c r="D28" s="19">
        <f>_xll.ciqfunctions.udf.CIQ(C3, "IQ_TEV_EBITDA", , D14)</f>
        <v/>
      </c>
      <c r="E28" s="7" t="inlineStr">
        <is>
          <t>TR.EVToEBITDA</t>
        </is>
      </c>
      <c r="F28" s="8" t="inlineStr">
        <is>
          <t>Required</t>
        </is>
      </c>
    </row>
    <row r="29">
      <c r="A29" s="9" t="n"/>
      <c r="B29" s="4" t="inlineStr">
        <is>
          <t>ev_sales</t>
        </is>
      </c>
      <c r="C29" s="5" t="inlineStr">
        <is>
          <t>EV / Sales</t>
        </is>
      </c>
      <c r="D29" s="19">
        <f>_xll.ciqfunctions.udf.CIQ(C3, "IQ_TEV_TOTAL_REV", , D14)</f>
        <v/>
      </c>
      <c r="E29" s="7" t="inlineStr">
        <is>
          <t>TR.EVToSales</t>
        </is>
      </c>
      <c r="F29" s="11" t="inlineStr">
        <is>
          <t>Recommended</t>
        </is>
      </c>
    </row>
    <row r="30">
      <c r="A30" s="9" t="n"/>
      <c r="B30" s="4" t="inlineStr">
        <is>
          <t>ev_fcf</t>
        </is>
      </c>
      <c r="C30" s="5" t="inlineStr">
        <is>
          <t>EV / FCF</t>
        </is>
      </c>
      <c r="D30" s="19">
        <f>IF(N(History!H15)&gt;0,D17/History!H15,"")</f>
        <v/>
      </c>
      <c r="E30" s="7" t="inlineStr">
        <is>
          <t>computed: EV / LTM free cash flow; blank when FCF is not positive</t>
        </is>
      </c>
      <c r="F30" s="11" t="inlineStr">
        <is>
          <t>Recommended</t>
        </is>
      </c>
    </row>
    <row r="31">
      <c r="A31" s="9" t="n"/>
      <c r="B31" s="4" t="inlineStr">
        <is>
          <t>pb</t>
        </is>
      </c>
      <c r="C31" s="5" t="inlineStr">
        <is>
          <t>P / B</t>
        </is>
      </c>
      <c r="D31" s="19">
        <f>_xll.ciqfunctions.udf.CIQ(C3, "IQ_PBV", , D14)</f>
        <v/>
      </c>
      <c r="E31" s="7" t="inlineStr">
        <is>
          <t>TR.PriceToBVPerShare</t>
        </is>
      </c>
      <c r="F31" s="11" t="inlineStr">
        <is>
          <t>Recommended</t>
        </is>
      </c>
    </row>
    <row r="32">
      <c r="A32" s="9" t="n"/>
      <c r="B32" s="4" t="inlineStr">
        <is>
          <t>p_fcf</t>
        </is>
      </c>
      <c r="C32" s="5" t="inlineStr">
        <is>
          <t>P / FCF</t>
        </is>
      </c>
      <c r="D32" s="44">
        <f>IF(N(History!H15)&gt;0,D16/History!H15,"")</f>
        <v/>
      </c>
      <c r="E32" s="7" t="inlineStr">
        <is>
          <t>computed: market cap / LTM free cash flow; blank when FCF is not positive</t>
        </is>
      </c>
      <c r="F32" s="11" t="inlineStr">
        <is>
          <t>Recommended</t>
        </is>
      </c>
    </row>
    <row r="33">
      <c r="A33" s="9" t="n"/>
      <c r="B33" s="4" t="inlineStr">
        <is>
          <t>peg</t>
        </is>
      </c>
      <c r="C33" s="5" t="inlineStr">
        <is>
          <t>PEG</t>
        </is>
      </c>
      <c r="D33" s="17">
        <f>_xll.ciqfunctions.udf.CIQ(C3, "IQ_PEG_FWD", IQ_NTM)</f>
        <v/>
      </c>
      <c r="E33" s="7" t="inlineStr">
        <is>
          <t>TR.PEG</t>
        </is>
      </c>
      <c r="F33" s="12" t="inlineStr">
        <is>
          <t>Optional</t>
        </is>
      </c>
    </row>
    <row r="34">
      <c r="A34" s="9" t="n"/>
      <c r="B34" s="4" t="inlineStr">
        <is>
          <t>earnings_yield</t>
        </is>
      </c>
      <c r="C34" s="5" t="inlineStr">
        <is>
          <t>Earnings Yield (%)</t>
        </is>
      </c>
      <c r="D34" s="45">
        <f>IF(N(D16)&gt;0,IFERROR(History!H11/D16,""),"")</f>
        <v/>
      </c>
      <c r="E34" s="7" t="inlineStr">
        <is>
          <t>computed: LTM net income / market cap (negative for a loss)</t>
        </is>
      </c>
      <c r="F34" s="11" t="inlineStr">
        <is>
          <t>Recommended</t>
        </is>
      </c>
    </row>
    <row r="35">
      <c r="A35" s="9" t="n"/>
      <c r="B35" s="4" t="inlineStr">
        <is>
          <t>fcf_yield</t>
        </is>
      </c>
      <c r="C35" s="5" t="inlineStr">
        <is>
          <t>FCF Yield (%)</t>
        </is>
      </c>
      <c r="D35" s="86">
        <f>IF(N(D16)&gt;0,IFERROR(History!H15/D16,""),"")</f>
        <v/>
      </c>
      <c r="E35" s="80" t="inlineStr">
        <is>
          <t>computed: LTM free cash flow / market cap (the LSEG RDP.Data call here showed #NAME?)</t>
        </is>
      </c>
      <c r="F35" s="8" t="inlineStr">
        <is>
          <t>Required</t>
        </is>
      </c>
    </row>
    <row r="36">
      <c r="A36" s="9" t="n"/>
      <c r="B36" s="4" t="inlineStr">
        <is>
          <t>dividend_yield</t>
        </is>
      </c>
      <c r="C36" s="5" t="inlineStr">
        <is>
          <t>Dividend Yield (%)</t>
        </is>
      </c>
      <c r="D36" s="48">
        <f>IFERROR(_xll.ciqfunctions.udf.CIQ(C3, "IQ_DIVIDEND_YIELD", D14)/100,"")</f>
        <v/>
      </c>
      <c r="E36" s="85" t="n"/>
      <c r="F36" s="12" t="inlineStr">
        <is>
          <t>Optional</t>
        </is>
      </c>
    </row>
    <row r="37">
      <c r="A37" s="9" t="n"/>
      <c r="B37" s="4" t="inlineStr">
        <is>
          <t>buyback_yield</t>
        </is>
      </c>
      <c r="C37" s="5" t="inlineStr">
        <is>
          <t>Buyback Yield (%)</t>
        </is>
      </c>
      <c r="D37" s="48">
        <f>IFERROR(-_xll.ciqfunctions.udf.CIQ(C3,"IQ_COMMON_REP",IQ_LTM)/D16,"")</f>
        <v/>
      </c>
      <c r="E37" s="7" t="inlineStr">
        <is>
          <t>TR.BuybackYield</t>
        </is>
      </c>
      <c r="F37" s="12" t="inlineStr">
        <is>
          <t>Optional</t>
        </is>
      </c>
    </row>
    <row r="38">
      <c r="A38" s="9" t="n"/>
      <c r="B38" s="4" t="inlineStr">
        <is>
          <t>shareholder_yield</t>
        </is>
      </c>
      <c r="C38" s="5" t="inlineStr">
        <is>
          <t>Shareholder Yield (%)</t>
        </is>
      </c>
      <c r="D38" s="46">
        <f>IF(AND(NOT(ISNUMBER(D36)),NOT(ISNUMBER(D37))),"",N(D36)+N(D37))</f>
        <v/>
      </c>
      <c r="E38" s="7" t="inlineStr">
        <is>
          <t>computed</t>
        </is>
      </c>
      <c r="F38" s="11" t="inlineStr">
        <is>
          <t>Recommended</t>
        </is>
      </c>
    </row>
    <row r="39">
      <c r="A39" s="3" t="inlineStr">
        <is>
          <t>Balance (now)</t>
        </is>
      </c>
      <c r="B39" s="4" t="inlineStr">
        <is>
          <t>cash_st</t>
        </is>
      </c>
      <c r="C39" s="5" t="inlineStr">
        <is>
          <t>Cash &amp; ST Investments</t>
        </is>
      </c>
      <c r="D39" s="15">
        <f>_xll.ciqfunctions.udf.CIQ(C3, "IQ_CASH_ST_INVEST", , D14)</f>
        <v/>
      </c>
      <c r="E39" s="7" t="inlineStr">
        <is>
          <t>TR.CashAndSTInvestments</t>
        </is>
      </c>
      <c r="F39" s="8" t="inlineStr">
        <is>
          <t>Required</t>
        </is>
      </c>
    </row>
    <row r="40">
      <c r="A40" s="9" t="n"/>
      <c r="B40" s="4" t="inlineStr">
        <is>
          <t>total_debt_now</t>
        </is>
      </c>
      <c r="C40" s="5" t="inlineStr">
        <is>
          <t>Total Debt</t>
        </is>
      </c>
      <c r="D40" s="15">
        <f>_xll.ciqfunctions.udf.CIQ(C3, "IQ_TOTAL_DEBT", , D14)</f>
        <v/>
      </c>
      <c r="E40" s="7" t="inlineStr">
        <is>
          <t>TR.TotalDebtOutstanding</t>
        </is>
      </c>
      <c r="F40" s="8" t="inlineStr">
        <is>
          <t>Required</t>
        </is>
      </c>
    </row>
    <row r="41">
      <c r="A41" s="9" t="n"/>
      <c r="B41" s="4" t="inlineStr">
        <is>
          <t>net_debt_now</t>
        </is>
      </c>
      <c r="C41" s="5" t="inlineStr">
        <is>
          <t>Net Debt</t>
        </is>
      </c>
      <c r="D41" s="20">
        <f>D40-D39</f>
        <v/>
      </c>
      <c r="E41" s="7" t="inlineStr">
        <is>
          <t>computed</t>
        </is>
      </c>
      <c r="F41" s="11" t="inlineStr">
        <is>
          <t>Recommended</t>
        </is>
      </c>
    </row>
    <row r="42">
      <c r="A42" s="9" t="n"/>
      <c r="B42" s="4" t="inlineStr">
        <is>
          <t>net_debt_ebitda_now</t>
        </is>
      </c>
      <c r="C42" s="5" t="inlineStr">
        <is>
          <t>Net Debt / EBITDA</t>
        </is>
      </c>
      <c r="D42" s="19">
        <f>IF(N(History!H10)&gt;0,D41/History!H10,"")</f>
        <v/>
      </c>
      <c r="E42" s="7" t="inlineStr">
        <is>
          <t>computed: net debt / LTM EBITDA; blank when EBITDA is not positive</t>
        </is>
      </c>
      <c r="F42" s="11" t="inlineStr">
        <is>
          <t>Recommended</t>
        </is>
      </c>
    </row>
    <row r="43">
      <c r="A43" s="9" t="n"/>
      <c r="B43" s="4" t="inlineStr">
        <is>
          <t>debt_to_equity</t>
        </is>
      </c>
      <c r="C43" s="5" t="inlineStr">
        <is>
          <t>Debt / Equity (%)</t>
        </is>
      </c>
      <c r="D43" s="47">
        <f>_xll.ciqfunctions.udf.CIQ(C3, "IQ_TOTAL_DEBT_EQUITY", IQ_CQ)/100</f>
        <v/>
      </c>
      <c r="E43" s="7" t="inlineStr">
        <is>
          <t>TR.TotalDebtToTotalEquityPct</t>
        </is>
      </c>
      <c r="F43" s="11" t="inlineStr">
        <is>
          <t>Recommended</t>
        </is>
      </c>
    </row>
    <row r="44">
      <c r="A44" s="9" t="n"/>
      <c r="B44" s="4" t="inlineStr">
        <is>
          <t>current_ratio</t>
        </is>
      </c>
      <c r="C44" s="43" t="inlineStr">
        <is>
          <t>Current Ratio as of last quarter</t>
        </is>
      </c>
      <c r="D44" s="17">
        <f>_xll.ciqfunctions.udf.CIQ(C3, "IQ_CURRENT_RATIO", IQ_CQ)</f>
        <v/>
      </c>
      <c r="E44" s="7" t="inlineStr">
        <is>
          <t>TR.CurrentRatio</t>
        </is>
      </c>
      <c r="F44" s="12" t="inlineStr">
        <is>
          <t>Optional</t>
        </is>
      </c>
    </row>
    <row r="45">
      <c r="A45" s="9" t="n"/>
      <c r="B45" s="4" t="inlineStr">
        <is>
          <t>quick_ratio</t>
        </is>
      </c>
      <c r="C45" s="43" t="inlineStr">
        <is>
          <t>Quick Ratio as of last quarter</t>
        </is>
      </c>
      <c r="D45" s="17">
        <f>_xll.ciqfunctions.udf.CIQ(C3, "IQ_QUICK_RATIO", IQ_CQ)</f>
        <v/>
      </c>
      <c r="E45" s="7" t="inlineStr">
        <is>
          <t>TR.QuickRatio</t>
        </is>
      </c>
      <c r="F45" s="12" t="inlineStr">
        <is>
          <t>Optional</t>
        </is>
      </c>
    </row>
    <row r="46">
      <c r="A46" s="9" t="n"/>
      <c r="B46" s="4" t="inlineStr">
        <is>
          <t>interest_coverage</t>
        </is>
      </c>
      <c r="C46" s="5" t="inlineStr">
        <is>
          <t>Interest Coverage</t>
        </is>
      </c>
      <c r="D46" s="19">
        <f>_xll.ciqfunctions.udf.CIQ(C3, "IQ_EBIT_INT", IQ_LTM)</f>
        <v/>
      </c>
      <c r="E46" s="7" t="inlineStr">
        <is>
          <t>TR.InterestCoverageRatio</t>
        </is>
      </c>
      <c r="F46" s="11" t="inlineStr">
        <is>
          <t>Recommended</t>
        </is>
      </c>
    </row>
    <row r="47">
      <c r="A47" s="9" t="n"/>
      <c r="B47" s="4" t="inlineStr">
        <is>
          <t>goodwill_intang</t>
        </is>
      </c>
      <c r="C47" s="5" t="inlineStr">
        <is>
          <t>Goodwill &amp; Intangibles</t>
        </is>
      </c>
      <c r="D47" s="15">
        <f>_xll.ciqfunctions.udf.CIQ(C3, "IQ_GW_INTAN", IQ_CQ)</f>
        <v/>
      </c>
      <c r="E47" s="7" t="inlineStr">
        <is>
          <t>TR.GoodwillGross</t>
        </is>
      </c>
      <c r="F47" s="12" t="inlineStr">
        <is>
          <t>Optional</t>
        </is>
      </c>
      <c r="G47" s="88" t="inlineStr">
        <is>
          <t>OWNERSHIP RESOLVER</t>
        </is>
      </c>
    </row>
    <row r="48">
      <c r="A48" s="9" t="n"/>
      <c r="B48" s="4" t="inlineStr">
        <is>
          <t>tangible_bv</t>
        </is>
      </c>
      <c r="C48" s="5" t="inlineStr">
        <is>
          <t>Tangible BV / Share</t>
        </is>
      </c>
      <c r="D48" s="14">
        <f>_xll.ciqfunctions.udf.CIQ(C3, "IQ_TBV_SHARE", IQ_CQ)</f>
        <v/>
      </c>
      <c r="E48" s="7" t="inlineStr">
        <is>
          <t>TR.TangibleBVPerShare</t>
        </is>
      </c>
      <c r="F48" s="12" t="inlineStr">
        <is>
          <t>Optional</t>
        </is>
      </c>
      <c r="G48" t="inlineStr">
        <is>
          <t>The add-ins return a FAILURE AS TEXT, not as an Excel error, so IFERROR cannot chain them — ISNUMBER can. Each row tries four candidate field names in order and takes the first that returns a number. Edit H:K only. M says which one won, or that none did.</t>
        </is>
      </c>
    </row>
    <row r="49">
      <c r="A49" s="3" t="inlineStr">
        <is>
          <t>Ownership &amp; Risk</t>
        </is>
      </c>
      <c r="B49" s="4" t="inlineStr">
        <is>
          <t>short_interest</t>
        </is>
      </c>
      <c r="C49" s="5" t="inlineStr">
        <is>
          <t>Short Interest (% float)</t>
        </is>
      </c>
      <c r="D49" s="48">
        <f>_xll.ciqfunctions.udf.CIQ(C3, "IQ_SHORT_INTEREST_OVER_FLOAT")/100</f>
        <v/>
      </c>
      <c r="E49" s="7" t="inlineStr">
        <is>
          <t>TR.ShortInterestPercentOfFloat</t>
        </is>
      </c>
      <c r="F49" s="12" t="inlineStr">
        <is>
          <t>Optional</t>
        </is>
      </c>
      <c r="H49" s="88" t="inlineStr">
        <is>
          <t>TR field A</t>
        </is>
      </c>
      <c r="I49" s="88" t="inlineStr">
        <is>
          <t>TR field B</t>
        </is>
      </c>
      <c r="J49" s="88" t="inlineStr">
        <is>
          <t>CIQ mnem A</t>
        </is>
      </c>
      <c r="K49" s="88" t="inlineStr">
        <is>
          <t>CIQ mnem B</t>
        </is>
      </c>
      <c r="L49" s="88" t="inlineStr">
        <is>
          <t>raw holding</t>
        </is>
      </c>
      <c r="M49" s="88" t="inlineStr">
        <is>
          <t>source that resolved</t>
        </is>
      </c>
    </row>
    <row r="50">
      <c r="A50" s="9" t="n"/>
      <c r="B50" s="4" t="inlineStr">
        <is>
          <t>insider_own</t>
        </is>
      </c>
      <c r="C50" s="5" t="inlineStr">
        <is>
          <t>Insider Ownership (% of shares out)</t>
        </is>
      </c>
      <c r="D50" s="49">
        <f>IF(N($L$50)=0,"",IF(N($D$18)=0,"",IF(OR(IF($L$50&lt;=100,$L$50/100,IF($L$50&lt;=$D$18,$L$50/$D$18,$L$50/($D$18*1000000)))&lt;0,IF($L$50&lt;=100,$L$50/100,IF($L$50&lt;=$D$18,$L$50/$D$18,$L$50/($D$18*1000000)))&gt;1),"",IF($L$50&lt;=100,$L$50/100,IF($L$50&lt;=$D$18,$L$50/$D$18,$L$50/($D$18*1000000))))))</f>
        <v/>
      </c>
      <c r="E50" s="7" t="inlineStr">
        <is>
          <t>computed: L50 normalised — see the resolver at G47 and the note at A54</t>
        </is>
      </c>
      <c r="F50" s="12" t="inlineStr">
        <is>
          <t>Optional</t>
        </is>
      </c>
      <c r="G50" t="inlineStr">
        <is>
          <t>insider</t>
        </is>
      </c>
      <c r="H50" t="inlineStr">
        <is>
          <t>TR.InsiderPercentHeld</t>
        </is>
      </c>
      <c r="I50" t="inlineStr">
        <is>
          <t>TR.PctOfSharesOutHeld</t>
        </is>
      </c>
      <c r="J50" t="inlineStr">
        <is>
          <t>IQ_INSIDER_OWNERSHIP</t>
        </is>
      </c>
      <c r="K50" t="inlineStr">
        <is>
          <t>IQ_INSIDER_SHARES</t>
        </is>
      </c>
      <c r="L50">
        <f>IF(ISNUMBER(_xll.TR($B$3,H50)),_xll.TR($B$3,H50),IF(ISNUMBER(_xll.TR($B$3,I50)),_xll.TR($B$3,I50),IF(ISNUMBER(_xll.ciqfunctions.udf.CIQ($C$3,J50)),_xll.ciqfunctions.udf.CIQ($C$3,J50),IF(ISNUMBER(_xll.ciqfunctions.udf.CIQ($C$3,K50)),_xll.ciqfunctions.udf.CIQ($C$3,K50),""))))</f>
        <v/>
      </c>
      <c r="M50">
        <f>IF(ISNUMBER(_xll.TR($B$3,H50)),$H$50,IF(ISNUMBER(_xll.TR($B$3,I50)),$I$50,IF(ISNUMBER(_xll.ciqfunctions.udf.CIQ($C$3,J50)),$J$50,IF(ISNUMBER(_xll.ciqfunctions.udf.CIQ($C$3,K50)),$K$50,"none resolved - paste the right field name into H50"))))</f>
        <v/>
      </c>
    </row>
    <row r="51">
      <c r="A51" s="9" t="n"/>
      <c r="B51" s="4" t="inlineStr">
        <is>
          <t>institutional_own</t>
        </is>
      </c>
      <c r="C51" s="5" t="inlineStr">
        <is>
          <t>Institutional Own (% of shares out)</t>
        </is>
      </c>
      <c r="D51" s="49">
        <f>IF(N($L$51)=0,"",IF(N($D$18)=0,"",IF(OR(IF($L$51&lt;=100,$L$51/100,IF($L$51&lt;=$D$18,$L$51/$D$18,$L$51/($D$18*1000000)))&lt;0,IF($L$51&lt;=100,$L$51/100,IF($L$51&lt;=$D$18,$L$51/$D$18,$L$51/($D$18*1000000)))&gt;1),"",IF($L$51&lt;=100,$L$51/100,IF($L$51&lt;=$D$18,$L$51/$D$18,$L$51/($D$18*1000000))))))</f>
        <v/>
      </c>
      <c r="E51" s="7" t="inlineStr">
        <is>
          <t>computed: L51 normalised — see the resolver at G47 and the note at A54</t>
        </is>
      </c>
      <c r="F51" s="12" t="inlineStr">
        <is>
          <t>Optional</t>
        </is>
      </c>
      <c r="G51" t="inlineStr">
        <is>
          <t>institutional</t>
        </is>
      </c>
      <c r="H51" t="inlineStr">
        <is>
          <t>TR.SIInstitutionalOwn</t>
        </is>
      </c>
      <c r="I51" t="inlineStr">
        <is>
          <t>TR.InstSharesHeld</t>
        </is>
      </c>
      <c r="J51" t="inlineStr">
        <is>
          <t>IQ_INST_OWNERSHIP</t>
        </is>
      </c>
      <c r="K51" t="inlineStr">
        <is>
          <t>IQ_INST_SHARES</t>
        </is>
      </c>
      <c r="L51">
        <f>IF(ISNUMBER(_xll.TR($B$3,H51)),_xll.TR($B$3,H51),IF(ISNUMBER(_xll.TR($B$3,I51)),_xll.TR($B$3,I51),IF(ISNUMBER(_xll.ciqfunctions.udf.CIQ($C$3,J51)),_xll.ciqfunctions.udf.CIQ($C$3,J51),IF(ISNUMBER(_xll.ciqfunctions.udf.CIQ($C$3,K51)),_xll.ciqfunctions.udf.CIQ($C$3,K51),""))))</f>
        <v/>
      </c>
      <c r="M51">
        <f>IF(ISNUMBER(_xll.TR($B$3,H51)),$H$51,IF(ISNUMBER(_xll.TR($B$3,I51)),$I$51,IF(ISNUMBER(_xll.ciqfunctions.udf.CIQ($C$3,J51)),$J$51,IF(ISNUMBER(_xll.ciqfunctions.udf.CIQ($C$3,K51)),$K$51,"none resolved - paste the right field name into H51"))))</f>
        <v/>
      </c>
    </row>
    <row r="54">
      <c r="A54" t="inlineStr">
        <is>
          <t>insider_own (D50) and institutional_own (D51) are COMPUTED, not read from a vendor percentage field. The add-ins report a field they do not know as TEXT ('(Invalid Formula Name)', or 'The formula must contain at least one field or function'), not as an Excel error, so an IFERROR chain stops at the first bad name. The resolver at G47:M51 uses ISNUMBER instead: four candidate field names per row, first numeric one wins, M50/M51 name it. D50/D51 then normalise: a figure up to 100 is a percent; up to the share count in D18 (millions) it is millions of shares; above that it is a plain share count (IQ_INSIDER_SHARES returns one, 38,347,842 for GME). Anything outside 0-1 is blanked. IF M SAYS 'none resolved': open Formula Builder, find the field your licence exposes, paste its name into H50 or H51.</t>
        </is>
      </c>
    </row>
  </sheetData>
  <mergeCells count="2">
    <mergeCell ref="A1:F1"/>
    <mergeCell ref="A4:F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6"/>
  <sheetViews>
    <sheetView workbookViewId="0">
      <pane xSplit="2" ySplit="4" topLeftCell="C14" activePane="bottomRight" state="frozen"/>
      <selection pane="topRight" activeCell="A1" sqref="A1"/>
      <selection pane="bottomLeft" activeCell="A1" sqref="A1"/>
      <selection pane="bottomRight" activeCell="B15" sqref="B15"/>
    </sheetView>
  </sheetViews>
  <sheetFormatPr baseColWidth="8" defaultRowHeight="15"/>
  <cols>
    <col width="17.28515625" bestFit="1" customWidth="1" style="90" min="1" max="1"/>
    <col width="22.5703125" bestFit="1" customWidth="1" style="90" min="2" max="2"/>
    <col width="52.5703125" bestFit="1" customWidth="1" style="90" min="3" max="8"/>
    <col width="21.7109375" bestFit="1" customWidth="1" style="90" min="9" max="9"/>
    <col width="28" bestFit="1" customWidth="1" style="90" min="10" max="10"/>
  </cols>
  <sheetData>
    <row r="1" ht="24" customHeight="1" s="90">
      <c r="A1" s="91" t="inlineStr">
        <is>
          <t>DENNIS — financial history (6 periods) + trend (formulas pre-filled)</t>
        </is>
      </c>
    </row>
    <row r="2">
      <c r="A2" s="89" t="inlineStr">
        <is>
          <t>Green rows auto-pull per period; grey rows/CAGR auto-calc. Set the ticker on Snapshot!C3; refresh. A CAGR, a ratio over negative equity or EBITDA, and a multiple of negative cash are left blank: they mean nothing.</t>
        </is>
      </c>
    </row>
    <row r="4" ht="26.1" customHeight="1" s="90">
      <c r="A4" s="2" t="inlineStr">
        <is>
          <t>field_key</t>
        </is>
      </c>
      <c r="B4" s="2" t="inlineStr">
        <is>
          <t>Label</t>
        </is>
      </c>
      <c r="C4" s="21" t="inlineStr">
        <is>
          <t>FY-4</t>
        </is>
      </c>
      <c r="D4" s="21" t="inlineStr">
        <is>
          <t>FY-3</t>
        </is>
      </c>
      <c r="E4" s="21" t="inlineStr">
        <is>
          <t>FY-2</t>
        </is>
      </c>
      <c r="F4" s="21" t="inlineStr">
        <is>
          <t>FY-1</t>
        </is>
      </c>
      <c r="G4" s="21" t="inlineStr">
        <is>
          <t>FY-0</t>
        </is>
      </c>
      <c r="H4" s="21" t="inlineStr">
        <is>
          <t>LTM</t>
        </is>
      </c>
      <c r="I4" s="21" t="inlineStr">
        <is>
          <t>CAGR FY-4-&gt;FY-0 %</t>
        </is>
      </c>
      <c r="J4" s="2" t="inlineStr">
        <is>
          <t>Field mnemonic (verify)</t>
        </is>
      </c>
    </row>
    <row r="5">
      <c r="A5" s="4" t="inlineStr">
        <is>
          <t>revenue</t>
        </is>
      </c>
      <c r="B5" s="3" t="inlineStr">
        <is>
          <t>Revenue</t>
        </is>
      </c>
      <c r="C5" s="15">
        <f>_xll.ciqfunctions.udf.CIQ(Snapshot!C3, "IQ_TOTAL_REV", IQ_FY - 4)</f>
        <v/>
      </c>
      <c r="D5" s="15">
        <f>_xll.ciqfunctions.udf.CIQ(Snapshot!C3, "IQ_TOTAL_REV", IQ_FY - 3)</f>
        <v/>
      </c>
      <c r="E5" s="15">
        <f>_xll.ciqfunctions.udf.CIQ(Snapshot!C3, "IQ_TOTAL_REV", IQ_FY - 2)</f>
        <v/>
      </c>
      <c r="F5" s="15">
        <f>_xll.ciqfunctions.udf.CIQ(Snapshot!C3, "IQ_TOTAL_REV", IQ_FY - 1)</f>
        <v/>
      </c>
      <c r="G5" s="15">
        <f>_xll.ciqfunctions.udf.CIQ(Snapshot!C3, "IQ_TOTAL_REV", IQ_FY)</f>
        <v/>
      </c>
      <c r="H5" s="15">
        <f>_xll.ciqfunctions.udf.CIQ(Snapshot!C3, "IQ_TOTAL_REV", IQ_LTM)</f>
        <v/>
      </c>
      <c r="I5" s="18">
        <f>IF(AND(N(C5)&gt;0,N(G5)&gt;0),((G5/C5)^(1/4)-1)*100,"")</f>
        <v/>
      </c>
      <c r="J5" s="7" t="inlineStr">
        <is>
          <t>TR.Revenue</t>
        </is>
      </c>
    </row>
    <row r="6">
      <c r="A6" s="4" t="inlineStr">
        <is>
          <t>gross_profit</t>
        </is>
      </c>
      <c r="B6" s="5" t="inlineStr">
        <is>
          <t>Gross Profit</t>
        </is>
      </c>
      <c r="C6" s="15">
        <f>_xll.ciqfunctions.udf.CIQ(Snapshot!C3, "IQ_GP", IQ_FY - 4)</f>
        <v/>
      </c>
      <c r="D6" s="15">
        <f>_xll.ciqfunctions.udf.CIQ(Snapshot!C3, "IQ_GP", IQ_FY - 3)</f>
        <v/>
      </c>
      <c r="E6" s="15">
        <f>_xll.ciqfunctions.udf.CIQ(Snapshot!C3, "IQ_GP", IQ_FY - 2)</f>
        <v/>
      </c>
      <c r="F6" s="15">
        <f>_xll.ciqfunctions.udf.CIQ(Snapshot!C3, "IQ_GP", IQ_FY - 1)</f>
        <v/>
      </c>
      <c r="G6" s="15">
        <f>_xll.ciqfunctions.udf.CIQ(Snapshot!C3, "IQ_GP", IQ_FY)</f>
        <v/>
      </c>
      <c r="H6" s="15">
        <f>_xll.ciqfunctions.udf.CIQ(Snapshot!C3, "IQ_GP", IQ_LTM)</f>
        <v/>
      </c>
      <c r="I6" s="18">
        <f>IF(AND(N(C6)&gt;0,N(G6)&gt;0),((G6/C6)^(1/4)-1)*100,"")</f>
        <v/>
      </c>
      <c r="J6" s="7" t="inlineStr">
        <is>
          <t>TR.GrossProfit</t>
        </is>
      </c>
    </row>
    <row r="7">
      <c r="A7" s="4" t="inlineStr">
        <is>
          <t>gross_margin</t>
        </is>
      </c>
      <c r="B7" s="5" t="inlineStr">
        <is>
          <t>Gross Margin %</t>
        </is>
      </c>
      <c r="C7" s="18">
        <f>IFERROR(C6/C5*100,"")</f>
        <v/>
      </c>
      <c r="D7" s="18">
        <f>IFERROR(D6/D5*100,"")</f>
        <v/>
      </c>
      <c r="E7" s="18">
        <f>IFERROR(E6/E5*100,"")</f>
        <v/>
      </c>
      <c r="F7" s="18">
        <f>IFERROR(F6/F5*100,"")</f>
        <v/>
      </c>
      <c r="G7" s="18">
        <f>IFERROR(G6/G5*100,"")</f>
        <v/>
      </c>
      <c r="H7" s="18">
        <f>IFERROR(H6/H5*100,"")</f>
        <v/>
      </c>
      <c r="I7" s="5" t="n"/>
      <c r="J7" s="7" t="inlineStr">
        <is>
          <t>computed</t>
        </is>
      </c>
    </row>
    <row r="8">
      <c r="A8" s="4" t="inlineStr">
        <is>
          <t>operating_income</t>
        </is>
      </c>
      <c r="B8" s="5" t="inlineStr">
        <is>
          <t>Operating Income</t>
        </is>
      </c>
      <c r="C8" s="15">
        <f>_xll.ciqfunctions.udf.CIQ(Snapshot!C3, "IQ_OPER_INC", IQ_FY - 4)</f>
        <v/>
      </c>
      <c r="D8" s="15">
        <f>_xll.ciqfunctions.udf.CIQ(Snapshot!C3, "IQ_OPER_INC", IQ_FY - 3)</f>
        <v/>
      </c>
      <c r="E8" s="15">
        <f>_xll.ciqfunctions.udf.CIQ(Snapshot!C3, "IQ_OPER_INC", IQ_FY - 2)</f>
        <v/>
      </c>
      <c r="F8" s="15">
        <f>_xll.ciqfunctions.udf.CIQ(Snapshot!C3, "IQ_OPER_INC", IQ_FY - 1)</f>
        <v/>
      </c>
      <c r="G8" s="15">
        <f>_xll.ciqfunctions.udf.CIQ(Snapshot!C3, "IQ_OPER_INC", IQ_FY)</f>
        <v/>
      </c>
      <c r="H8" s="15">
        <f>_xll.ciqfunctions.udf.CIQ(Snapshot!C3, "IQ_OPER_INC", IQ_LTM)</f>
        <v/>
      </c>
      <c r="I8" s="18">
        <f>IF(AND(N(C8)&gt;0,N(G8)&gt;0),((G8/C8)^(1/4)-1)*100,"")</f>
        <v/>
      </c>
      <c r="J8" s="7" t="inlineStr">
        <is>
          <t>TR.OperatingIncome</t>
        </is>
      </c>
    </row>
    <row r="9">
      <c r="A9" s="4" t="inlineStr">
        <is>
          <t>operating_margin</t>
        </is>
      </c>
      <c r="B9" s="5" t="inlineStr">
        <is>
          <t>Operating Margin %</t>
        </is>
      </c>
      <c r="C9" s="18">
        <f>IFERROR(C8/C5*100,"")</f>
        <v/>
      </c>
      <c r="D9" s="18">
        <f>IFERROR(D8/D5*100,"")</f>
        <v/>
      </c>
      <c r="E9" s="18">
        <f>IFERROR(E8/E5*100,"")</f>
        <v/>
      </c>
      <c r="F9" s="18">
        <f>IFERROR(F8/F5*100,"")</f>
        <v/>
      </c>
      <c r="G9" s="18">
        <f>IFERROR(G8/G5*100,"")</f>
        <v/>
      </c>
      <c r="H9" s="18">
        <f>IFERROR(H8/H5*100,"")</f>
        <v/>
      </c>
      <c r="I9" s="5" t="n"/>
      <c r="J9" s="7" t="inlineStr">
        <is>
          <t>computed</t>
        </is>
      </c>
    </row>
    <row r="10">
      <c r="A10" s="4" t="inlineStr">
        <is>
          <t>ebitda</t>
        </is>
      </c>
      <c r="B10" s="5" t="inlineStr">
        <is>
          <t>EBITDA</t>
        </is>
      </c>
      <c r="C10" s="15">
        <f>_xll.ciqfunctions.udf.CIQ(Snapshot!C3, "IQ_EBITDA", IQ_FY - 4)</f>
        <v/>
      </c>
      <c r="D10" s="15">
        <f>_xll.ciqfunctions.udf.CIQ(Snapshot!C3, "IQ_EBITDA", IQ_FY - 3)</f>
        <v/>
      </c>
      <c r="E10" s="15">
        <f>_xll.ciqfunctions.udf.CIQ(Snapshot!C3, "IQ_EBITDA", IQ_FY - 2)</f>
        <v/>
      </c>
      <c r="F10" s="15">
        <f>_xll.ciqfunctions.udf.CIQ(Snapshot!C3, "IQ_EBITDA", IQ_FY - 1)</f>
        <v/>
      </c>
      <c r="G10" s="15">
        <f>_xll.ciqfunctions.udf.CIQ(Snapshot!C3, "IQ_EBITDA", IQ_FY)</f>
        <v/>
      </c>
      <c r="H10" s="15">
        <f>_xll.ciqfunctions.udf.CIQ(Snapshot!C3, "IQ_EBITDA", IQ_LTM)</f>
        <v/>
      </c>
      <c r="I10" s="18">
        <f>IF(AND(N(C10)&gt;0,N(G10)&gt;0),((G10/C10)^(1/4)-1)*100,"")</f>
        <v/>
      </c>
      <c r="J10" s="7" t="inlineStr">
        <is>
          <t>TR.EBITDA</t>
        </is>
      </c>
    </row>
    <row r="11">
      <c r="A11" s="4" t="inlineStr">
        <is>
          <t>net_income</t>
        </is>
      </c>
      <c r="B11" s="5" t="inlineStr">
        <is>
          <t>Net Income</t>
        </is>
      </c>
      <c r="C11" s="15">
        <f>_xll.ciqfunctions.udf.CIQ(Snapshot!C3, "IQ_NI", IQ_FY - 4)</f>
        <v/>
      </c>
      <c r="D11" s="15">
        <f>_xll.ciqfunctions.udf.CIQ(Snapshot!C3, "IQ_NI", IQ_FY - 3)</f>
        <v/>
      </c>
      <c r="E11" s="15">
        <f>_xll.ciqfunctions.udf.CIQ(Snapshot!C3, "IQ_NI", IQ_FY - 2)</f>
        <v/>
      </c>
      <c r="F11" s="15">
        <f>_xll.ciqfunctions.udf.CIQ(Snapshot!C3, "IQ_NI", IQ_FY - 1)</f>
        <v/>
      </c>
      <c r="G11" s="15">
        <f>_xll.ciqfunctions.udf.CIQ(Snapshot!C3, "IQ_NI", IQ_FY)</f>
        <v/>
      </c>
      <c r="H11" s="15">
        <f>_xll.ciqfunctions.udf.CIQ(Snapshot!C3, "IQ_NI", IQ_LTM)</f>
        <v/>
      </c>
      <c r="I11" s="18">
        <f>IF(AND(N(C11)&gt;0,N(G11)&gt;0),((G11/C11)^(1/4)-1)*100,"")</f>
        <v/>
      </c>
      <c r="J11" s="7" t="inlineStr">
        <is>
          <t>TR.NetIncomeAfterTax</t>
        </is>
      </c>
    </row>
    <row r="12">
      <c r="A12" s="4" t="inlineStr">
        <is>
          <t>net_margin</t>
        </is>
      </c>
      <c r="B12" s="5" t="inlineStr">
        <is>
          <t>Net Margin %</t>
        </is>
      </c>
      <c r="C12" s="18">
        <f>IFERROR(C11/C5*100,"")</f>
        <v/>
      </c>
      <c r="D12" s="18">
        <f>IFERROR(D11/D5*100,"")</f>
        <v/>
      </c>
      <c r="E12" s="18">
        <f>IFERROR(E11/E5*100,"")</f>
        <v/>
      </c>
      <c r="F12" s="18">
        <f>IFERROR(F11/F5*100,"")</f>
        <v/>
      </c>
      <c r="G12" s="18">
        <f>IFERROR(G11/G5*100,"")</f>
        <v/>
      </c>
      <c r="H12" s="18">
        <f>IFERROR(H11/H5*100,"")</f>
        <v/>
      </c>
      <c r="I12" s="5" t="n"/>
      <c r="J12" s="7" t="inlineStr">
        <is>
          <t>computed</t>
        </is>
      </c>
    </row>
    <row r="13">
      <c r="A13" s="4" t="inlineStr">
        <is>
          <t>operating_cf</t>
        </is>
      </c>
      <c r="B13" s="3" t="inlineStr">
        <is>
          <t>Operating Cash Flow</t>
        </is>
      </c>
      <c r="C13" s="15">
        <f>_xll.ciqfunctions.udf.CIQ(Snapshot!C3, "IQ_CASH_OPER_CS", IQ_FY - 4)</f>
        <v/>
      </c>
      <c r="D13" s="15">
        <f>_xll.ciqfunctions.udf.CIQ(Snapshot!C3, "IQ_CASH_OPER_CS", IQ_FY - 3)</f>
        <v/>
      </c>
      <c r="E13" s="15">
        <f>_xll.ciqfunctions.udf.CIQ(Snapshot!C3, "IQ_CASH_OPER_CS", IQ_FY - 2)</f>
        <v/>
      </c>
      <c r="F13" s="15">
        <f>_xll.ciqfunctions.udf.CIQ(Snapshot!C3, "IQ_CASH_OPER_CS", IQ_FY - 1)</f>
        <v/>
      </c>
      <c r="G13" s="15">
        <f>_xll.ciqfunctions.udf.CIQ(Snapshot!C3, "IQ_CASH_OPER_CS", IQ_FY)</f>
        <v/>
      </c>
      <c r="H13" s="15">
        <f>_xll.ciqfunctions.udf.CIQ(Snapshot!C3, "IQ_CASH_OPER_CS", IQ_LTM)</f>
        <v/>
      </c>
      <c r="I13" s="18">
        <f>IF(AND(N(C13)&gt;0,N(G13)&gt;0),((G13/C13)^(1/4)-1)*100,"")</f>
        <v/>
      </c>
      <c r="J13" s="7" t="inlineStr">
        <is>
          <t>TR.CashFromOperatingAct</t>
        </is>
      </c>
    </row>
    <row r="14">
      <c r="A14" s="4" t="inlineStr">
        <is>
          <t>capex</t>
        </is>
      </c>
      <c r="B14" s="5" t="inlineStr">
        <is>
          <t>CapEx</t>
        </is>
      </c>
      <c r="C14" s="15">
        <f>_xll.ciqfunctions.udf.CIQ(Snapshot!C3, "IQ_CAPEX", IQ_FY - 4)</f>
        <v/>
      </c>
      <c r="D14" s="15">
        <f>_xll.ciqfunctions.udf.CIQ(Snapshot!C3, "IQ_CAPEX", IQ_FY - 3)</f>
        <v/>
      </c>
      <c r="E14" s="15">
        <f>_xll.ciqfunctions.udf.CIQ(Snapshot!C3, "IQ_CAPEX", IQ_FY - 2)</f>
        <v/>
      </c>
      <c r="F14" s="15">
        <f>_xll.ciqfunctions.udf.CIQ(Snapshot!C3, "IQ_CAPEX", IQ_FY - 1)</f>
        <v/>
      </c>
      <c r="G14" s="15">
        <f>_xll.ciqfunctions.udf.CIQ(Snapshot!C3, "IQ_CAPEX", IQ_FY)</f>
        <v/>
      </c>
      <c r="H14" s="15">
        <f>_xll.ciqfunctions.udf.CIQ(Snapshot!C3, "IQ_CAPEX", IQ_LTM)</f>
        <v/>
      </c>
      <c r="I14" s="5" t="n"/>
      <c r="J14" s="7" t="inlineStr">
        <is>
          <t>TR.CapitalExpenditures</t>
        </is>
      </c>
    </row>
    <row r="15">
      <c r="A15" s="4" t="inlineStr">
        <is>
          <t>fcf</t>
        </is>
      </c>
      <c r="B15" s="5" t="inlineStr">
        <is>
          <t>Free Cash Flow</t>
        </is>
      </c>
      <c r="C15" s="20">
        <f>IF(C13="","",C13+C14)</f>
        <v/>
      </c>
      <c r="D15" s="20">
        <f>IF(D13="","",D13+D14)</f>
        <v/>
      </c>
      <c r="E15" s="20">
        <f>IF(E13="","",E13+E14)</f>
        <v/>
      </c>
      <c r="F15" s="20">
        <f>IF(F13="","",F13+F14)</f>
        <v/>
      </c>
      <c r="G15" s="20">
        <f>IF(G13="","",G13+G14)</f>
        <v/>
      </c>
      <c r="H15" s="20">
        <f>IF(H13="","",H13+H14)</f>
        <v/>
      </c>
      <c r="I15" s="18">
        <f>IF(AND(N(C15)&gt;0,N(G15)&gt;0),((G15/C15)^(1/4)-1)*100,"")</f>
        <v/>
      </c>
      <c r="J15" s="7" t="inlineStr">
        <is>
          <t>computed</t>
        </is>
      </c>
    </row>
    <row r="16">
      <c r="A16" s="4" t="inlineStr">
        <is>
          <t>fcf_margin</t>
        </is>
      </c>
      <c r="B16" s="5" t="inlineStr">
        <is>
          <t>FCF Margin %</t>
        </is>
      </c>
      <c r="C16" s="18">
        <f>IFERROR(C15/C5*100,"")</f>
        <v/>
      </c>
      <c r="D16" s="18">
        <f>IFERROR(D15/D5*100,"")</f>
        <v/>
      </c>
      <c r="E16" s="18">
        <f>IFERROR(E15/E5*100,"")</f>
        <v/>
      </c>
      <c r="F16" s="18">
        <f>IFERROR(F15/F5*100,"")</f>
        <v/>
      </c>
      <c r="G16" s="18">
        <f>IFERROR(G15/G5*100,"")</f>
        <v/>
      </c>
      <c r="H16" s="18">
        <f>IFERROR(H15/H5*100,"")</f>
        <v/>
      </c>
      <c r="I16" s="5" t="n"/>
      <c r="J16" s="7" t="inlineStr">
        <is>
          <t>computed</t>
        </is>
      </c>
    </row>
    <row r="17">
      <c r="A17" s="4" t="inlineStr">
        <is>
          <t>sbc</t>
        </is>
      </c>
      <c r="B17" s="5" t="inlineStr">
        <is>
          <t>Stock-Based Comp</t>
        </is>
      </c>
      <c r="C17" s="15">
        <f>_xll.ciqfunctions.udf.CIQ(Snapshot!C3, "IQ_STOCK_BASED_CF", IQ_FY - 4)</f>
        <v/>
      </c>
      <c r="D17" s="15">
        <f>_xll.ciqfunctions.udf.CIQ(Snapshot!C3, "IQ_STOCK_BASED_CF", IQ_FY - 3)</f>
        <v/>
      </c>
      <c r="E17" s="15">
        <f>_xll.ciqfunctions.udf.CIQ(Snapshot!C3, "IQ_STOCK_BASED_CF", IQ_FY - 2)</f>
        <v/>
      </c>
      <c r="F17" s="15">
        <f>_xll.ciqfunctions.udf.CIQ(Snapshot!C3, "IQ_STOCK_BASED_CF", IQ_FY - 1)</f>
        <v/>
      </c>
      <c r="G17" s="15">
        <f>_xll.ciqfunctions.udf.CIQ(Snapshot!C3, "IQ_STOCK_BASED_CF", IQ_FY)</f>
        <v/>
      </c>
      <c r="H17" s="15">
        <f>_xll.ciqfunctions.udf.CIQ(Snapshot!C3, "IQ_STOCK_BASED_CF", IQ_LTM)</f>
        <v/>
      </c>
      <c r="I17" s="5" t="n"/>
      <c r="J17" s="7" t="inlineStr">
        <is>
          <t>TR.StockBasedCompensation</t>
        </is>
      </c>
    </row>
    <row r="18">
      <c r="A18" s="4" t="inlineStr">
        <is>
          <t>sbc_pct_rev</t>
        </is>
      </c>
      <c r="B18" s="5" t="inlineStr">
        <is>
          <t>SBC % of Revenue</t>
        </is>
      </c>
      <c r="C18" s="18">
        <f>IFERROR(C17/C5*100,"")</f>
        <v/>
      </c>
      <c r="D18" s="18">
        <f>IFERROR(D17/D5*100,"")</f>
        <v/>
      </c>
      <c r="E18" s="18">
        <f>IFERROR(E17/E5*100,"")</f>
        <v/>
      </c>
      <c r="F18" s="18">
        <f>IFERROR(F17/F5*100,"")</f>
        <v/>
      </c>
      <c r="G18" s="18">
        <f>IFERROR(G17/G5*100,"")</f>
        <v/>
      </c>
      <c r="H18" s="18">
        <f>IFERROR(H17/H5*100,"")</f>
        <v/>
      </c>
      <c r="I18" s="5" t="n"/>
      <c r="J18" s="7" t="inlineStr">
        <is>
          <t>computed</t>
        </is>
      </c>
    </row>
    <row r="19">
      <c r="A19" s="4" t="inlineStr">
        <is>
          <t>dividends_paid</t>
        </is>
      </c>
      <c r="B19" s="5" t="inlineStr">
        <is>
          <t>Dividends Paid</t>
        </is>
      </c>
      <c r="C19" s="15">
        <f>_xll.ciqfunctions.udf.CIQ(Snapshot!C3, "IQ_TOTAL_DIV_PAID_CF", IQ_FY - 4)</f>
        <v/>
      </c>
      <c r="D19" s="15">
        <f>_xll.ciqfunctions.udf.CIQ(Snapshot!C3, "IQ_TOTAL_DIV_PAID_CF", IQ_FY - 3)</f>
        <v/>
      </c>
      <c r="E19" s="15">
        <f>_xll.ciqfunctions.udf.CIQ(Snapshot!C3, "IQ_TOTAL_DIV_PAID_CF", IQ_FY - 2)</f>
        <v/>
      </c>
      <c r="F19" s="15">
        <f>_xll.ciqfunctions.udf.CIQ(Snapshot!C3, "IQ_TOTAL_DIV_PAID_CF", IQ_FY - 1)</f>
        <v/>
      </c>
      <c r="G19" s="15">
        <f>_xll.ciqfunctions.udf.CIQ(Snapshot!C3, "IQ_TOTAL_DIV_PAID_CF", IQ_FY)</f>
        <v/>
      </c>
      <c r="H19" s="15">
        <f>_xll.ciqfunctions.udf.CIQ(Snapshot!C3, "IQ_TOTAL_DIV_PAID_CF", IQ_LTM)</f>
        <v/>
      </c>
      <c r="I19" s="5" t="n"/>
      <c r="J19" s="7" t="inlineStr">
        <is>
          <t>TR.CommonDividendsPaid</t>
        </is>
      </c>
    </row>
    <row r="20">
      <c r="A20" s="4" t="inlineStr">
        <is>
          <t>buybacks</t>
        </is>
      </c>
      <c r="B20" s="5" t="inlineStr">
        <is>
          <t>Buybacks</t>
        </is>
      </c>
      <c r="C20" s="15">
        <f>_xll.ciqfunctions.udf.CIQ(Snapshot!C3, "IQ_COMMON_REP", IQ_FY - 4)</f>
        <v/>
      </c>
      <c r="D20" s="15">
        <f>_xll.ciqfunctions.udf.CIQ(Snapshot!C3, "IQ_COMMON_REP", IQ_FY - 3)</f>
        <v/>
      </c>
      <c r="E20" s="15">
        <f>_xll.ciqfunctions.udf.CIQ(Snapshot!C3, "IQ_COMMON_REP", IQ_FY - 2)</f>
        <v/>
      </c>
      <c r="F20" s="15">
        <f>_xll.ciqfunctions.udf.CIQ(Snapshot!C3, "IQ_COMMON_REP", IQ_FY - 1)</f>
        <v/>
      </c>
      <c r="G20" s="15">
        <f>_xll.ciqfunctions.udf.CIQ(Snapshot!C3, "IQ_COMMON_REP", IQ_FY)</f>
        <v/>
      </c>
      <c r="H20" s="15">
        <f>_xll.ciqfunctions.udf.CIQ(Snapshot!C3, "IQ_COMMON_REP", IQ_LTM)</f>
        <v/>
      </c>
      <c r="I20" s="5" t="n"/>
      <c r="J20" s="7" t="inlineStr">
        <is>
          <t>TR.RepurchaseOfCommonStock</t>
        </is>
      </c>
    </row>
    <row r="21">
      <c r="A21" s="4" t="inlineStr">
        <is>
          <t>cash</t>
        </is>
      </c>
      <c r="B21" s="3" t="inlineStr">
        <is>
          <t>Cash &amp; ST Investments</t>
        </is>
      </c>
      <c r="C21" s="15">
        <f>_xll.ciqfunctions.udf.CIQ(Snapshot!C3, "IQ_CASH_ST_INVEST", IQ_FY - 4)</f>
        <v/>
      </c>
      <c r="D21" s="15">
        <f>_xll.ciqfunctions.udf.CIQ(Snapshot!C3, "IQ_CASH_ST_INVEST", IQ_FY - 3)</f>
        <v/>
      </c>
      <c r="E21" s="15">
        <f>_xll.ciqfunctions.udf.CIQ(Snapshot!C3, "IQ_CASH_ST_INVEST", IQ_FY - 2)</f>
        <v/>
      </c>
      <c r="F21" s="15">
        <f>_xll.ciqfunctions.udf.CIQ(Snapshot!C3, "IQ_CASH_ST_INVEST", IQ_FY - 1)</f>
        <v/>
      </c>
      <c r="G21" s="15">
        <f>_xll.ciqfunctions.udf.CIQ(Snapshot!C3, "IQ_CASH_ST_INVEST", IQ_FY)</f>
        <v/>
      </c>
      <c r="H21" s="15">
        <f>_xll.ciqfunctions.udf.CIQ(Snapshot!C3, "IQ_CASH_ST_INVEST", IQ_LTM)</f>
        <v/>
      </c>
      <c r="I21" s="5" t="n"/>
      <c r="J21" s="7" t="inlineStr">
        <is>
          <t>TR.CashAndSTInvestments</t>
        </is>
      </c>
    </row>
    <row r="22">
      <c r="A22" s="4" t="inlineStr">
        <is>
          <t>total_debt</t>
        </is>
      </c>
      <c r="B22" s="5" t="inlineStr">
        <is>
          <t>Total Debt</t>
        </is>
      </c>
      <c r="C22" s="15">
        <f>_xll.ciqfunctions.udf.CIQ(Snapshot!C3, "IQ_TOTAL_DEBT", IQ_FY - 4)</f>
        <v/>
      </c>
      <c r="D22" s="15">
        <f>_xll.ciqfunctions.udf.CIQ(Snapshot!C3, "IQ_TOTAL_DEBT", IQ_FY - 3)</f>
        <v/>
      </c>
      <c r="E22" s="15">
        <f>_xll.ciqfunctions.udf.CIQ(Snapshot!C3, "IQ_TOTAL_DEBT", IQ_FY - 2)</f>
        <v/>
      </c>
      <c r="F22" s="15">
        <f>_xll.ciqfunctions.udf.CIQ(Snapshot!C3, "IQ_TOTAL_DEBT", IQ_FY - 1)</f>
        <v/>
      </c>
      <c r="G22" s="15">
        <f>_xll.ciqfunctions.udf.CIQ(Snapshot!C3, "IQ_TOTAL_DEBT", IQ_FY)</f>
        <v/>
      </c>
      <c r="H22" s="15">
        <f>_xll.ciqfunctions.udf.CIQ(Snapshot!C3, "IQ_TOTAL_DEBT", IQ_LTM)</f>
        <v/>
      </c>
      <c r="I22" s="5" t="n"/>
      <c r="J22" s="7" t="inlineStr">
        <is>
          <t>TR.TotalDebtOutstanding</t>
        </is>
      </c>
    </row>
    <row r="23">
      <c r="A23" s="4" t="inlineStr">
        <is>
          <t>net_debt</t>
        </is>
      </c>
      <c r="B23" s="5" t="inlineStr">
        <is>
          <t>Net Debt</t>
        </is>
      </c>
      <c r="C23" s="20">
        <f>IF(C22="","",C22-C21)</f>
        <v/>
      </c>
      <c r="D23" s="20">
        <f>IF(D22="","",D22-D21)</f>
        <v/>
      </c>
      <c r="E23" s="20">
        <f>IF(E22="","",E22-E21)</f>
        <v/>
      </c>
      <c r="F23" s="20">
        <f>IF(F22="","",F22-F21)</f>
        <v/>
      </c>
      <c r="G23" s="20">
        <f>IF(G22="","",G22-G21)</f>
        <v/>
      </c>
      <c r="H23" s="20">
        <f>IF(H22="","",H22-H21)</f>
        <v/>
      </c>
      <c r="I23" s="5" t="n"/>
      <c r="J23" s="7" t="inlineStr">
        <is>
          <t>computed</t>
        </is>
      </c>
    </row>
    <row r="24">
      <c r="A24" s="4" t="inlineStr">
        <is>
          <t>total_equity</t>
        </is>
      </c>
      <c r="B24" s="5" t="inlineStr">
        <is>
          <t>Total Equity</t>
        </is>
      </c>
      <c r="C24" s="15">
        <f>_xll.ciqfunctions.udf.CIQ(Snapshot!C3, "IQ_TOTAL_EQUITY", IQ_FY - 4)</f>
        <v/>
      </c>
      <c r="D24" s="15">
        <f>_xll.ciqfunctions.udf.CIQ(Snapshot!C3, "IQ_TOTAL_EQUITY", IQ_FY - 3)</f>
        <v/>
      </c>
      <c r="E24" s="15">
        <f>_xll.ciqfunctions.udf.CIQ(Snapshot!C3, "IQ_TOTAL_EQUITY", IQ_FY - 2)</f>
        <v/>
      </c>
      <c r="F24" s="15">
        <f>_xll.ciqfunctions.udf.CIQ(Snapshot!C3, "IQ_TOTAL_EQUITY", IQ_FY - 1)</f>
        <v/>
      </c>
      <c r="G24" s="15">
        <f>_xll.ciqfunctions.udf.CIQ(Snapshot!C3, "IQ_TOTAL_EQUITY", IQ_FY)</f>
        <v/>
      </c>
      <c r="H24" s="15">
        <f>_xll.ciqfunctions.udf.CIQ(Snapshot!C3, "IQ_TOTAL_EQUITY", IQ_LTM)</f>
        <v/>
      </c>
      <c r="I24" s="5" t="n"/>
      <c r="J24" s="7" t="inlineStr">
        <is>
          <t>TR.TotalEquity</t>
        </is>
      </c>
    </row>
    <row r="25">
      <c r="A25" s="4" t="inlineStr">
        <is>
          <t>total_assets</t>
        </is>
      </c>
      <c r="B25" s="5" t="inlineStr">
        <is>
          <t>Total Assets</t>
        </is>
      </c>
      <c r="C25" s="15">
        <f>_xll.ciqfunctions.udf.CIQ(Snapshot!C3, "IQ_TOTAL_ASSETS", IQ_FY - 4)</f>
        <v/>
      </c>
      <c r="D25" s="15">
        <f>_xll.ciqfunctions.udf.CIQ(Snapshot!C3, "IQ_TOTAL_ASSETS", IQ_FY - 3)</f>
        <v/>
      </c>
      <c r="E25" s="15">
        <f>_xll.ciqfunctions.udf.CIQ(Snapshot!C3, "IQ_TOTAL_ASSETS", IQ_FY - 2)</f>
        <v/>
      </c>
      <c r="F25" s="15">
        <f>_xll.ciqfunctions.udf.CIQ(Snapshot!C3, "IQ_TOTAL_ASSETS", IQ_FY - 1)</f>
        <v/>
      </c>
      <c r="G25" s="15">
        <f>_xll.ciqfunctions.udf.CIQ(Snapshot!C3, "IQ_TOTAL_ASSETS", IQ_FY)</f>
        <v/>
      </c>
      <c r="H25" s="15">
        <f>_xll.ciqfunctions.udf.CIQ(Snapshot!C3, "IQ_TOTAL_ASSETS", IQ_LTM)</f>
        <v/>
      </c>
      <c r="I25" s="5" t="n"/>
      <c r="J25" s="7" t="inlineStr">
        <is>
          <t>TR.TotalAssets</t>
        </is>
      </c>
    </row>
    <row r="26">
      <c r="A26" s="4" t="inlineStr">
        <is>
          <t>invested_capital</t>
        </is>
      </c>
      <c r="B26" s="5" t="inlineStr">
        <is>
          <t>Invested Capital</t>
        </is>
      </c>
      <c r="C26" s="15">
        <f>C22+C24-C21</f>
        <v/>
      </c>
      <c r="D26" s="15">
        <f>D22+D24-D21</f>
        <v/>
      </c>
      <c r="E26" s="15">
        <f>E22+E24-E21</f>
        <v/>
      </c>
      <c r="F26" s="15">
        <f>F22+F24-F21</f>
        <v/>
      </c>
      <c r="G26" s="15">
        <f>G22+G24-G21</f>
        <v/>
      </c>
      <c r="H26" s="15">
        <f>H22+H24-H21</f>
        <v/>
      </c>
      <c r="I26" s="5" t="n"/>
      <c r="J26" s="7" t="inlineStr">
        <is>
          <t>TR.InvestedCapital</t>
        </is>
      </c>
    </row>
    <row r="27">
      <c r="A27" s="4" t="inlineStr">
        <is>
          <t>net_debt_ebitda</t>
        </is>
      </c>
      <c r="B27" s="5" t="inlineStr">
        <is>
          <t>Net Debt / EBITDA</t>
        </is>
      </c>
      <c r="C27" s="22">
        <f>IF(N(C10)&gt;0,C23/C10,"")</f>
        <v/>
      </c>
      <c r="D27" s="22">
        <f>IF(N(D10)&gt;0,D23/D10,"")</f>
        <v/>
      </c>
      <c r="E27" s="22">
        <f>IF(N(E10)&gt;0,E23/E10,"")</f>
        <v/>
      </c>
      <c r="F27" s="22">
        <f>IF(N(F10)&gt;0,F23/F10,"")</f>
        <v/>
      </c>
      <c r="G27" s="22">
        <f>IF(N(G10)&gt;0,G23/G10,"")</f>
        <v/>
      </c>
      <c r="H27" s="22">
        <f>IF(N(H10)&gt;0,H23/H10,"")</f>
        <v/>
      </c>
      <c r="I27" s="5" t="n"/>
      <c r="J27" s="7" t="inlineStr">
        <is>
          <t>computed</t>
        </is>
      </c>
    </row>
    <row r="28">
      <c r="A28" s="4" t="inlineStr">
        <is>
          <t>eps</t>
        </is>
      </c>
      <c r="B28" s="3" t="inlineStr">
        <is>
          <t>EPS (diluted)</t>
        </is>
      </c>
      <c r="C28" s="23">
        <f>IFERROR(C11/C33*1,"")</f>
        <v/>
      </c>
      <c r="D28" s="23">
        <f>IFERROR(D11/D33*1,"")</f>
        <v/>
      </c>
      <c r="E28" s="23">
        <f>IFERROR(E11/E33*1,"")</f>
        <v/>
      </c>
      <c r="F28" s="23">
        <f>IFERROR(F11/F33*1,"")</f>
        <v/>
      </c>
      <c r="G28" s="23">
        <f>IFERROR(G11/G33*1,"")</f>
        <v/>
      </c>
      <c r="H28" s="23">
        <f>IFERROR(H11/H33*1,"")</f>
        <v/>
      </c>
      <c r="I28" s="5" t="n"/>
      <c r="J28" s="7" t="inlineStr">
        <is>
          <t>computed</t>
        </is>
      </c>
    </row>
    <row r="29">
      <c r="A29" s="4" t="inlineStr">
        <is>
          <t>fcf_ps</t>
        </is>
      </c>
      <c r="B29" s="5" t="inlineStr">
        <is>
          <t>FCF per Share</t>
        </is>
      </c>
      <c r="C29" s="23">
        <f>IFERROR(C15/C33*1,"")</f>
        <v/>
      </c>
      <c r="D29" s="23">
        <f>IFERROR(D15/D33*1,"")</f>
        <v/>
      </c>
      <c r="E29" s="23">
        <f>IFERROR(E15/E33*1,"")</f>
        <v/>
      </c>
      <c r="F29" s="23">
        <f>IFERROR(F15/F33*1,"")</f>
        <v/>
      </c>
      <c r="G29" s="23">
        <f>IFERROR(G15/G33*1,"")</f>
        <v/>
      </c>
      <c r="H29" s="23">
        <f>IFERROR(H15/H33*1,"")</f>
        <v/>
      </c>
      <c r="I29" s="5" t="n"/>
      <c r="J29" s="7" t="inlineStr">
        <is>
          <t>computed</t>
        </is>
      </c>
    </row>
    <row r="30">
      <c r="A30" s="4" t="inlineStr">
        <is>
          <t>bvps</t>
        </is>
      </c>
      <c r="B30" s="5" t="inlineStr">
        <is>
          <t>Book Value / Share</t>
        </is>
      </c>
      <c r="C30" s="23">
        <f>IFERROR(C24/C33*1,"")</f>
        <v/>
      </c>
      <c r="D30" s="23">
        <f>IFERROR(D24/D33*1,"")</f>
        <v/>
      </c>
      <c r="E30" s="23">
        <f>IFERROR(E24/E33*1,"")</f>
        <v/>
      </c>
      <c r="F30" s="23">
        <f>IFERROR(F24/F33*1,"")</f>
        <v/>
      </c>
      <c r="G30" s="23">
        <f>IFERROR(G24/G33*1,"")</f>
        <v/>
      </c>
      <c r="H30" s="23">
        <f>IFERROR(H24/H33*1,"")</f>
        <v/>
      </c>
      <c r="I30" s="5" t="n"/>
      <c r="J30" s="7" t="inlineStr">
        <is>
          <t>computed</t>
        </is>
      </c>
    </row>
    <row r="31">
      <c r="A31" s="4" t="inlineStr">
        <is>
          <t>roic</t>
        </is>
      </c>
      <c r="B31" s="3" t="inlineStr">
        <is>
          <t>ROIC %</t>
        </is>
      </c>
      <c r="C31" s="18">
        <f>IF(N(C26)&gt;0,C8*(1-Valuation!$B$22)/C26*100,"")</f>
        <v/>
      </c>
      <c r="D31" s="18">
        <f>IF(N(D26)&gt;0,D8*(1-Valuation!$B$22)/D26*100,"")</f>
        <v/>
      </c>
      <c r="E31" s="18">
        <f>IF(N(E26)&gt;0,E8*(1-Valuation!$B$22)/E26*100,"")</f>
        <v/>
      </c>
      <c r="F31" s="18">
        <f>IF(N(F26)&gt;0,F8*(1-Valuation!$B$22)/F26*100,"")</f>
        <v/>
      </c>
      <c r="G31" s="18">
        <f>IF(N(G26)&gt;0,G8*(1-Valuation!$B$22)/G26*100,"")</f>
        <v/>
      </c>
      <c r="H31" s="18">
        <f>IF(N(H26)&gt;0,H8*(1-Valuation!$B$22)/H26*100,"")</f>
        <v/>
      </c>
      <c r="I31" s="5" t="n"/>
      <c r="J31" s="7" t="inlineStr">
        <is>
          <t>computed</t>
        </is>
      </c>
    </row>
    <row r="32">
      <c r="A32" s="4" t="inlineStr">
        <is>
          <t>roe</t>
        </is>
      </c>
      <c r="B32" s="5" t="inlineStr">
        <is>
          <t>ROE %</t>
        </is>
      </c>
      <c r="C32" s="18">
        <f>IF(N(C24)&gt;0,C11/C24*100,"")</f>
        <v/>
      </c>
      <c r="D32" s="18">
        <f>IF(N(D24)&gt;0,D11/D24*100,"")</f>
        <v/>
      </c>
      <c r="E32" s="18">
        <f>IF(N(E24)&gt;0,E11/E24*100,"")</f>
        <v/>
      </c>
      <c r="F32" s="18">
        <f>IF(N(F24)&gt;0,F11/F24*100,"")</f>
        <v/>
      </c>
      <c r="G32" s="18">
        <f>IF(N(G24)&gt;0,G11/G24*100,"")</f>
        <v/>
      </c>
      <c r="H32" s="18">
        <f>IF(N(H24)&gt;0,H11/H24*100,"")</f>
        <v/>
      </c>
      <c r="I32" s="5" t="n"/>
      <c r="J32" s="7" t="inlineStr">
        <is>
          <t>computed</t>
        </is>
      </c>
    </row>
    <row r="33">
      <c r="A33" s="4" t="inlineStr">
        <is>
          <t>diluted_shares</t>
        </is>
      </c>
      <c r="B33" s="5" t="inlineStr">
        <is>
          <t>Diluted Shares</t>
        </is>
      </c>
      <c r="C33" s="16">
        <f>_xll.ciqfunctions.udf.CIQ(Snapshot!C3, "IQ_DILUT_WEIGHT", IQ_FY - 4)</f>
        <v/>
      </c>
      <c r="D33" s="16">
        <f>_xll.ciqfunctions.udf.CIQ(Snapshot!C3, "IQ_DILUT_WEIGHT", IQ_FY - 3)</f>
        <v/>
      </c>
      <c r="E33" s="16">
        <f>_xll.ciqfunctions.udf.CIQ(Snapshot!C3, "IQ_DILUT_WEIGHT", IQ_FY - 2)</f>
        <v/>
      </c>
      <c r="F33" s="16">
        <f>_xll.ciqfunctions.udf.CIQ(Snapshot!C3, "IQ_DILUT_WEIGHT", IQ_FY - 1)</f>
        <v/>
      </c>
      <c r="G33" s="16">
        <f>_xll.ciqfunctions.udf.CIQ(Snapshot!C3, "IQ_DILUT_WEIGHT", IQ_FY)</f>
        <v/>
      </c>
      <c r="H33" s="16">
        <f>_xll.ciqfunctions.udf.CIQ(Snapshot!C3, "IQ_DILUT_WEIGHT", IQ_LTM)</f>
        <v/>
      </c>
      <c r="I33" s="18">
        <f>IF(AND(N(C33)&gt;0,N(G33)&gt;0),((G33/C33)^(1/4)-1)*100,"")</f>
        <v/>
      </c>
      <c r="J33" s="7" t="inlineStr">
        <is>
          <t>TR.DilutedWeightedAvgShares</t>
        </is>
      </c>
    </row>
    <row r="34">
      <c r="A34" s="4" t="inlineStr">
        <is>
          <t>shares_yoy</t>
        </is>
      </c>
      <c r="B34" s="5" t="inlineStr">
        <is>
          <t>Share Count YoY %</t>
        </is>
      </c>
      <c r="C34" s="18" t="n"/>
      <c r="D34" s="18">
        <f>IFERROR((D33/C33-1)*100,"")</f>
        <v/>
      </c>
      <c r="E34" s="18">
        <f>IFERROR((E33/D33-1)*100,"")</f>
        <v/>
      </c>
      <c r="F34" s="18">
        <f>IFERROR((F33/E33-1)*100,"")</f>
        <v/>
      </c>
      <c r="G34" s="18">
        <f>IFERROR((G33/F33-1)*100,"")</f>
        <v/>
      </c>
      <c r="H34" s="18">
        <f>IFERROR((H33/G33-1)*100,"")</f>
        <v/>
      </c>
      <c r="I34" s="5" t="n"/>
      <c r="J34" s="7" t="inlineStr">
        <is>
          <t>computed</t>
        </is>
      </c>
    </row>
    <row r="35">
      <c r="A35" s="4" t="inlineStr">
        <is>
          <t>fiscal_year</t>
        </is>
      </c>
      <c r="B35" s="94" t="inlineStr">
        <is>
          <t>Fiscal year (labels the column)</t>
        </is>
      </c>
      <c r="C35" s="95">
        <f>_xll.ciqfunctions.udf.CIQ(Snapshot!C3, "IQ_FISCAL_Y", IQ_FY - 4)</f>
        <v/>
      </c>
      <c r="D35" s="95">
        <f>_xll.ciqfunctions.udf.CIQ(Snapshot!C3, "IQ_FISCAL_Y", IQ_FY - 3)</f>
        <v/>
      </c>
      <c r="E35" s="95">
        <f>_xll.ciqfunctions.udf.CIQ(Snapshot!C3, "IQ_FISCAL_Y", IQ_FY - 2)</f>
        <v/>
      </c>
      <c r="F35" s="95">
        <f>_xll.ciqfunctions.udf.CIQ(Snapshot!C3, "IQ_FISCAL_Y", IQ_FY - 1)</f>
        <v/>
      </c>
      <c r="G35" s="95">
        <f>_xll.ciqfunctions.udf.CIQ(Snapshot!C3, "IQ_FISCAL_Y", IQ_FY)</f>
        <v/>
      </c>
      <c r="H35" s="95" t="n"/>
      <c r="I35" s="96" t="n"/>
      <c r="J35" s="7" t="inlineStr">
        <is>
          <t>TR.FiscalYear</t>
        </is>
      </c>
    </row>
    <row r="36">
      <c r="A36" s="4" t="inlineStr">
        <is>
          <t>period_end</t>
        </is>
      </c>
      <c r="B36" s="94" t="inlineStr">
        <is>
          <t>Fiscal year end date (names a year the row above does not)</t>
        </is>
      </c>
      <c r="C36" s="99">
        <f>_xll.ciqfunctions.udf.CIQ(Snapshot!C3, "IQ_PERIODDATE", IQ_FY - 4)</f>
        <v/>
      </c>
      <c r="D36" s="99">
        <f>_xll.ciqfunctions.udf.CIQ(Snapshot!C3, "IQ_PERIODDATE", IQ_FY - 3)</f>
        <v/>
      </c>
      <c r="E36" s="99">
        <f>_xll.ciqfunctions.udf.CIQ(Snapshot!C3, "IQ_PERIODDATE", IQ_FY - 2)</f>
        <v/>
      </c>
      <c r="F36" s="99">
        <f>_xll.ciqfunctions.udf.CIQ(Snapshot!C3, "IQ_PERIODDATE", IQ_FY - 1)</f>
        <v/>
      </c>
      <c r="G36" s="99">
        <f>_xll.ciqfunctions.udf.CIQ(Snapshot!C3, "IQ_PERIODDATE", IQ_FY)</f>
        <v/>
      </c>
      <c r="H36" s="100" t="n"/>
      <c r="I36" s="101" t="n"/>
      <c r="J36" s="7" t="inlineStr">
        <is>
          <t>IQ_PERIODDATE</t>
        </is>
      </c>
    </row>
  </sheetData>
  <mergeCells count="2">
    <mergeCell ref="A1:J1"/>
    <mergeCell ref="A2:J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9"/>
  <sheetViews>
    <sheetView workbookViewId="0">
      <selection activeCell="A1" sqref="A1"/>
    </sheetView>
  </sheetViews>
  <sheetFormatPr baseColWidth="8" defaultRowHeight="15"/>
  <cols>
    <col width="18" customWidth="1" style="90" min="1" max="1"/>
    <col width="22" customWidth="1" style="90" min="2" max="2"/>
  </cols>
  <sheetData>
    <row r="1">
      <c r="A1" t="inlineStr">
        <is>
          <t>DENNIS — quarterly results (8 quarters) + both comparisons</t>
        </is>
      </c>
    </row>
    <row r="2">
      <c r="A2" t="inlineStr">
        <is>
          <t>Green rows auto-pull per quarter; grey rows auto-calc. Q-0 is the latest reported quarter. Read QoQ (Q-1) and YoY (Q-4) together: a retailer beats its own Q3 every December. Rows 27-29 NAME the columns (Q3 FY26): the bot needs the fiscal year at least, or the period end date.</t>
        </is>
      </c>
    </row>
    <row r="4">
      <c r="A4" s="93" t="inlineStr">
        <is>
          <t>field_key</t>
        </is>
      </c>
      <c r="B4" s="93" t="inlineStr">
        <is>
          <t>Label</t>
        </is>
      </c>
      <c r="C4" s="93" t="inlineStr">
        <is>
          <t>Q-7</t>
        </is>
      </c>
      <c r="D4" s="93" t="inlineStr">
        <is>
          <t>Q-6</t>
        </is>
      </c>
      <c r="E4" s="93" t="inlineStr">
        <is>
          <t>Q-5</t>
        </is>
      </c>
      <c r="F4" s="93" t="inlineStr">
        <is>
          <t>Q-4</t>
        </is>
      </c>
      <c r="G4" s="93" t="inlineStr">
        <is>
          <t>Q-3</t>
        </is>
      </c>
      <c r="H4" s="93" t="inlineStr">
        <is>
          <t>Q-2</t>
        </is>
      </c>
      <c r="I4" s="93" t="inlineStr">
        <is>
          <t>Q-1</t>
        </is>
      </c>
      <c r="J4" s="93" t="inlineStr">
        <is>
          <t>Q-0</t>
        </is>
      </c>
      <c r="K4" s="93" t="inlineStr">
        <is>
          <t>Field mnemonic (verify)</t>
        </is>
      </c>
    </row>
    <row r="5">
      <c r="A5" t="inlineStr">
        <is>
          <t>revenue</t>
        </is>
      </c>
      <c r="B5" t="inlineStr">
        <is>
          <t>Revenue</t>
        </is>
      </c>
      <c r="C5">
        <f>_xll.ciqfunctions.udf.CIQ(Snapshot!C3, "IQ_TOTAL_REV", IQ_FQ - 7)</f>
        <v/>
      </c>
      <c r="D5">
        <f>_xll.ciqfunctions.udf.CIQ(Snapshot!C3, "IQ_TOTAL_REV", IQ_FQ - 6)</f>
        <v/>
      </c>
      <c r="E5">
        <f>_xll.ciqfunctions.udf.CIQ(Snapshot!C3, "IQ_TOTAL_REV", IQ_FQ - 5)</f>
        <v/>
      </c>
      <c r="F5">
        <f>_xll.ciqfunctions.udf.CIQ(Snapshot!C3, "IQ_TOTAL_REV", IQ_FQ - 4)</f>
        <v/>
      </c>
      <c r="G5">
        <f>_xll.ciqfunctions.udf.CIQ(Snapshot!C3, "IQ_TOTAL_REV", IQ_FQ - 3)</f>
        <v/>
      </c>
      <c r="H5">
        <f>_xll.ciqfunctions.udf.CIQ(Snapshot!C3, "IQ_TOTAL_REV", IQ_FQ - 2)</f>
        <v/>
      </c>
      <c r="I5">
        <f>_xll.ciqfunctions.udf.CIQ(Snapshot!C3, "IQ_TOTAL_REV", IQ_FQ - 1)</f>
        <v/>
      </c>
      <c r="J5">
        <f>_xll.ciqfunctions.udf.CIQ(Snapshot!C3, "IQ_TOTAL_REV", IQ_FQ)</f>
        <v/>
      </c>
      <c r="K5" t="inlineStr">
        <is>
          <t>TR.Revenue</t>
        </is>
      </c>
    </row>
    <row r="6">
      <c r="A6" t="inlineStr">
        <is>
          <t>gross_profit</t>
        </is>
      </c>
      <c r="B6" t="inlineStr">
        <is>
          <t>Gross Profit</t>
        </is>
      </c>
      <c r="C6">
        <f>_xll.ciqfunctions.udf.CIQ(Snapshot!C3, "IQ_GP", IQ_FQ - 7)</f>
        <v/>
      </c>
      <c r="D6">
        <f>_xll.ciqfunctions.udf.CIQ(Snapshot!C3, "IQ_GP", IQ_FQ - 6)</f>
        <v/>
      </c>
      <c r="E6">
        <f>_xll.ciqfunctions.udf.CIQ(Snapshot!C3, "IQ_GP", IQ_FQ - 5)</f>
        <v/>
      </c>
      <c r="F6">
        <f>_xll.ciqfunctions.udf.CIQ(Snapshot!C3, "IQ_GP", IQ_FQ - 4)</f>
        <v/>
      </c>
      <c r="G6">
        <f>_xll.ciqfunctions.udf.CIQ(Snapshot!C3, "IQ_GP", IQ_FQ - 3)</f>
        <v/>
      </c>
      <c r="H6">
        <f>_xll.ciqfunctions.udf.CIQ(Snapshot!C3, "IQ_GP", IQ_FQ - 2)</f>
        <v/>
      </c>
      <c r="I6">
        <f>_xll.ciqfunctions.udf.CIQ(Snapshot!C3, "IQ_GP", IQ_FQ - 1)</f>
        <v/>
      </c>
      <c r="J6">
        <f>_xll.ciqfunctions.udf.CIQ(Snapshot!C3, "IQ_GP", IQ_FQ)</f>
        <v/>
      </c>
      <c r="K6" t="inlineStr">
        <is>
          <t>TR.GrossProfit</t>
        </is>
      </c>
    </row>
    <row r="7">
      <c r="A7" t="inlineStr">
        <is>
          <t>gross_margin</t>
        </is>
      </c>
      <c r="B7" t="inlineStr">
        <is>
          <t>Gross Margin %</t>
        </is>
      </c>
      <c r="C7">
        <f>IFERROR(C6/C5*100,"")</f>
        <v/>
      </c>
      <c r="D7">
        <f>IFERROR(D6/D5*100,"")</f>
        <v/>
      </c>
      <c r="E7">
        <f>IFERROR(E6/E5*100,"")</f>
        <v/>
      </c>
      <c r="F7">
        <f>IFERROR(F6/F5*100,"")</f>
        <v/>
      </c>
      <c r="G7">
        <f>IFERROR(G6/G5*100,"")</f>
        <v/>
      </c>
      <c r="H7">
        <f>IFERROR(H6/H5*100,"")</f>
        <v/>
      </c>
      <c r="I7">
        <f>IFERROR(I6/I5*100,"")</f>
        <v/>
      </c>
      <c r="J7">
        <f>IFERROR(J6/J5*100,"")</f>
        <v/>
      </c>
      <c r="K7" t="inlineStr">
        <is>
          <t>computed</t>
        </is>
      </c>
    </row>
    <row r="8">
      <c r="A8" t="inlineStr">
        <is>
          <t>operating_income</t>
        </is>
      </c>
      <c r="B8" t="inlineStr">
        <is>
          <t>Operating Income</t>
        </is>
      </c>
      <c r="C8">
        <f>_xll.ciqfunctions.udf.CIQ(Snapshot!C3, "IQ_OPER_INC", IQ_FQ - 7)</f>
        <v/>
      </c>
      <c r="D8">
        <f>_xll.ciqfunctions.udf.CIQ(Snapshot!C3, "IQ_OPER_INC", IQ_FQ - 6)</f>
        <v/>
      </c>
      <c r="E8">
        <f>_xll.ciqfunctions.udf.CIQ(Snapshot!C3, "IQ_OPER_INC", IQ_FQ - 5)</f>
        <v/>
      </c>
      <c r="F8">
        <f>_xll.ciqfunctions.udf.CIQ(Snapshot!C3, "IQ_OPER_INC", IQ_FQ - 4)</f>
        <v/>
      </c>
      <c r="G8">
        <f>_xll.ciqfunctions.udf.CIQ(Snapshot!C3, "IQ_OPER_INC", IQ_FQ - 3)</f>
        <v/>
      </c>
      <c r="H8">
        <f>_xll.ciqfunctions.udf.CIQ(Snapshot!C3, "IQ_OPER_INC", IQ_FQ - 2)</f>
        <v/>
      </c>
      <c r="I8">
        <f>_xll.ciqfunctions.udf.CIQ(Snapshot!C3, "IQ_OPER_INC", IQ_FQ - 1)</f>
        <v/>
      </c>
      <c r="J8">
        <f>_xll.ciqfunctions.udf.CIQ(Snapshot!C3, "IQ_OPER_INC", IQ_FQ)</f>
        <v/>
      </c>
      <c r="K8" t="inlineStr">
        <is>
          <t>TR.OperatingIncome</t>
        </is>
      </c>
    </row>
    <row r="9">
      <c r="A9" t="inlineStr">
        <is>
          <t>operating_margin</t>
        </is>
      </c>
      <c r="B9" t="inlineStr">
        <is>
          <t>Operating Margin %</t>
        </is>
      </c>
      <c r="C9">
        <f>IFERROR(C8/C5*100,"")</f>
        <v/>
      </c>
      <c r="D9">
        <f>IFERROR(D8/D5*100,"")</f>
        <v/>
      </c>
      <c r="E9">
        <f>IFERROR(E8/E5*100,"")</f>
        <v/>
      </c>
      <c r="F9">
        <f>IFERROR(F8/F5*100,"")</f>
        <v/>
      </c>
      <c r="G9">
        <f>IFERROR(G8/G5*100,"")</f>
        <v/>
      </c>
      <c r="H9">
        <f>IFERROR(H8/H5*100,"")</f>
        <v/>
      </c>
      <c r="I9">
        <f>IFERROR(I8/I5*100,"")</f>
        <v/>
      </c>
      <c r="J9">
        <f>IFERROR(J8/J5*100,"")</f>
        <v/>
      </c>
      <c r="K9" t="inlineStr">
        <is>
          <t>computed</t>
        </is>
      </c>
    </row>
    <row r="10">
      <c r="A10" t="inlineStr">
        <is>
          <t>ebitda</t>
        </is>
      </c>
      <c r="B10" t="inlineStr">
        <is>
          <t>EBITDA</t>
        </is>
      </c>
      <c r="C10">
        <f>_xll.ciqfunctions.udf.CIQ(Snapshot!C3, "IQ_EBITDA", IQ_FQ - 7)</f>
        <v/>
      </c>
      <c r="D10">
        <f>_xll.ciqfunctions.udf.CIQ(Snapshot!C3, "IQ_EBITDA", IQ_FQ - 6)</f>
        <v/>
      </c>
      <c r="E10">
        <f>_xll.ciqfunctions.udf.CIQ(Snapshot!C3, "IQ_EBITDA", IQ_FQ - 5)</f>
        <v/>
      </c>
      <c r="F10">
        <f>_xll.ciqfunctions.udf.CIQ(Snapshot!C3, "IQ_EBITDA", IQ_FQ - 4)</f>
        <v/>
      </c>
      <c r="G10">
        <f>_xll.ciqfunctions.udf.CIQ(Snapshot!C3, "IQ_EBITDA", IQ_FQ - 3)</f>
        <v/>
      </c>
      <c r="H10">
        <f>_xll.ciqfunctions.udf.CIQ(Snapshot!C3, "IQ_EBITDA", IQ_FQ - 2)</f>
        <v/>
      </c>
      <c r="I10">
        <f>_xll.ciqfunctions.udf.CIQ(Snapshot!C3, "IQ_EBITDA", IQ_FQ - 1)</f>
        <v/>
      </c>
      <c r="J10">
        <f>_xll.ciqfunctions.udf.CIQ(Snapshot!C3, "IQ_EBITDA", IQ_FQ)</f>
        <v/>
      </c>
      <c r="K10" t="inlineStr">
        <is>
          <t>TR.EBITDA</t>
        </is>
      </c>
    </row>
    <row r="11">
      <c r="A11" t="inlineStr">
        <is>
          <t>net_income</t>
        </is>
      </c>
      <c r="B11" t="inlineStr">
        <is>
          <t>Net Income</t>
        </is>
      </c>
      <c r="C11">
        <f>_xll.ciqfunctions.udf.CIQ(Snapshot!C3, "IQ_NI", IQ_FQ - 7)</f>
        <v/>
      </c>
      <c r="D11">
        <f>_xll.ciqfunctions.udf.CIQ(Snapshot!C3, "IQ_NI", IQ_FQ - 6)</f>
        <v/>
      </c>
      <c r="E11">
        <f>_xll.ciqfunctions.udf.CIQ(Snapshot!C3, "IQ_NI", IQ_FQ - 5)</f>
        <v/>
      </c>
      <c r="F11">
        <f>_xll.ciqfunctions.udf.CIQ(Snapshot!C3, "IQ_NI", IQ_FQ - 4)</f>
        <v/>
      </c>
      <c r="G11">
        <f>_xll.ciqfunctions.udf.CIQ(Snapshot!C3, "IQ_NI", IQ_FQ - 3)</f>
        <v/>
      </c>
      <c r="H11">
        <f>_xll.ciqfunctions.udf.CIQ(Snapshot!C3, "IQ_NI", IQ_FQ - 2)</f>
        <v/>
      </c>
      <c r="I11">
        <f>_xll.ciqfunctions.udf.CIQ(Snapshot!C3, "IQ_NI", IQ_FQ - 1)</f>
        <v/>
      </c>
      <c r="J11">
        <f>_xll.ciqfunctions.udf.CIQ(Snapshot!C3, "IQ_NI", IQ_FQ)</f>
        <v/>
      </c>
      <c r="K11" t="inlineStr">
        <is>
          <t>TR.NetIncomeAfterTax</t>
        </is>
      </c>
    </row>
    <row r="12">
      <c r="A12" t="inlineStr">
        <is>
          <t>net_margin</t>
        </is>
      </c>
      <c r="B12" t="inlineStr">
        <is>
          <t>Net Margin %</t>
        </is>
      </c>
      <c r="C12">
        <f>IFERROR(C11/C5*100,"")</f>
        <v/>
      </c>
      <c r="D12">
        <f>IFERROR(D11/D5*100,"")</f>
        <v/>
      </c>
      <c r="E12">
        <f>IFERROR(E11/E5*100,"")</f>
        <v/>
      </c>
      <c r="F12">
        <f>IFERROR(F11/F5*100,"")</f>
        <v/>
      </c>
      <c r="G12">
        <f>IFERROR(G11/G5*100,"")</f>
        <v/>
      </c>
      <c r="H12">
        <f>IFERROR(H11/H5*100,"")</f>
        <v/>
      </c>
      <c r="I12">
        <f>IFERROR(I11/I5*100,"")</f>
        <v/>
      </c>
      <c r="J12">
        <f>IFERROR(J11/J5*100,"")</f>
        <v/>
      </c>
      <c r="K12" t="inlineStr">
        <is>
          <t>computed</t>
        </is>
      </c>
    </row>
    <row r="13">
      <c r="A13" t="inlineStr">
        <is>
          <t>operating_cf</t>
        </is>
      </c>
      <c r="B13" t="inlineStr">
        <is>
          <t>Operating Cash Flow</t>
        </is>
      </c>
      <c r="C13">
        <f>_xll.ciqfunctions.udf.CIQ(Snapshot!C3, "IQ_CASH_OPER_CS", IQ_FQ - 7)</f>
        <v/>
      </c>
      <c r="D13">
        <f>_xll.ciqfunctions.udf.CIQ(Snapshot!C3, "IQ_CASH_OPER_CS", IQ_FQ - 6)</f>
        <v/>
      </c>
      <c r="E13">
        <f>_xll.ciqfunctions.udf.CIQ(Snapshot!C3, "IQ_CASH_OPER_CS", IQ_FQ - 5)</f>
        <v/>
      </c>
      <c r="F13">
        <f>_xll.ciqfunctions.udf.CIQ(Snapshot!C3, "IQ_CASH_OPER_CS", IQ_FQ - 4)</f>
        <v/>
      </c>
      <c r="G13">
        <f>_xll.ciqfunctions.udf.CIQ(Snapshot!C3, "IQ_CASH_OPER_CS", IQ_FQ - 3)</f>
        <v/>
      </c>
      <c r="H13">
        <f>_xll.ciqfunctions.udf.CIQ(Snapshot!C3, "IQ_CASH_OPER_CS", IQ_FQ - 2)</f>
        <v/>
      </c>
      <c r="I13">
        <f>_xll.ciqfunctions.udf.CIQ(Snapshot!C3, "IQ_CASH_OPER_CS", IQ_FQ - 1)</f>
        <v/>
      </c>
      <c r="J13">
        <f>_xll.ciqfunctions.udf.CIQ(Snapshot!C3, "IQ_CASH_OPER_CS", IQ_FQ)</f>
        <v/>
      </c>
      <c r="K13" t="inlineStr">
        <is>
          <t>TR.CashFromOperatingAct</t>
        </is>
      </c>
    </row>
    <row r="14">
      <c r="A14" t="inlineStr">
        <is>
          <t>capex</t>
        </is>
      </c>
      <c r="B14" t="inlineStr">
        <is>
          <t>CapEx</t>
        </is>
      </c>
      <c r="C14">
        <f>_xll.ciqfunctions.udf.CIQ(Snapshot!C3, "IQ_CAPEX", IQ_FQ - 7)</f>
        <v/>
      </c>
      <c r="D14">
        <f>_xll.ciqfunctions.udf.CIQ(Snapshot!C3, "IQ_CAPEX", IQ_FQ - 6)</f>
        <v/>
      </c>
      <c r="E14">
        <f>_xll.ciqfunctions.udf.CIQ(Snapshot!C3, "IQ_CAPEX", IQ_FQ - 5)</f>
        <v/>
      </c>
      <c r="F14">
        <f>_xll.ciqfunctions.udf.CIQ(Snapshot!C3, "IQ_CAPEX", IQ_FQ - 4)</f>
        <v/>
      </c>
      <c r="G14">
        <f>_xll.ciqfunctions.udf.CIQ(Snapshot!C3, "IQ_CAPEX", IQ_FQ - 3)</f>
        <v/>
      </c>
      <c r="H14">
        <f>_xll.ciqfunctions.udf.CIQ(Snapshot!C3, "IQ_CAPEX", IQ_FQ - 2)</f>
        <v/>
      </c>
      <c r="I14">
        <f>_xll.ciqfunctions.udf.CIQ(Snapshot!C3, "IQ_CAPEX", IQ_FQ - 1)</f>
        <v/>
      </c>
      <c r="J14">
        <f>_xll.ciqfunctions.udf.CIQ(Snapshot!C3, "IQ_CAPEX", IQ_FQ)</f>
        <v/>
      </c>
      <c r="K14" t="inlineStr">
        <is>
          <t>TR.CapitalExpenditures</t>
        </is>
      </c>
    </row>
    <row r="15">
      <c r="A15" t="inlineStr">
        <is>
          <t>fcf</t>
        </is>
      </c>
      <c r="B15" t="inlineStr">
        <is>
          <t>Free Cash Flow</t>
        </is>
      </c>
      <c r="C15">
        <f>IF(C13="","",C13+C14)</f>
        <v/>
      </c>
      <c r="D15">
        <f>IF(D13="","",D13+D14)</f>
        <v/>
      </c>
      <c r="E15">
        <f>IF(E13="","",E13+E14)</f>
        <v/>
      </c>
      <c r="F15">
        <f>IF(F13="","",F13+F14)</f>
        <v/>
      </c>
      <c r="G15">
        <f>IF(G13="","",G13+G14)</f>
        <v/>
      </c>
      <c r="H15">
        <f>IF(H13="","",H13+H14)</f>
        <v/>
      </c>
      <c r="I15">
        <f>IF(I13="","",I13+I14)</f>
        <v/>
      </c>
      <c r="J15">
        <f>IF(J13="","",J13+J14)</f>
        <v/>
      </c>
      <c r="K15" t="inlineStr">
        <is>
          <t>computed</t>
        </is>
      </c>
    </row>
    <row r="16">
      <c r="A16" t="inlineStr">
        <is>
          <t>fcf_margin</t>
        </is>
      </c>
      <c r="B16" t="inlineStr">
        <is>
          <t>FCF Margin %</t>
        </is>
      </c>
      <c r="C16">
        <f>IFERROR(C15/C5*100,"")</f>
        <v/>
      </c>
      <c r="D16">
        <f>IFERROR(D15/D5*100,"")</f>
        <v/>
      </c>
      <c r="E16">
        <f>IFERROR(E15/E5*100,"")</f>
        <v/>
      </c>
      <c r="F16">
        <f>IFERROR(F15/F5*100,"")</f>
        <v/>
      </c>
      <c r="G16">
        <f>IFERROR(G15/G5*100,"")</f>
        <v/>
      </c>
      <c r="H16">
        <f>IFERROR(H15/H5*100,"")</f>
        <v/>
      </c>
      <c r="I16">
        <f>IFERROR(I15/I5*100,"")</f>
        <v/>
      </c>
      <c r="J16">
        <f>IFERROR(J15/J5*100,"")</f>
        <v/>
      </c>
      <c r="K16" t="inlineStr">
        <is>
          <t>computed</t>
        </is>
      </c>
    </row>
    <row r="17">
      <c r="A17" t="inlineStr">
        <is>
          <t>sbc</t>
        </is>
      </c>
      <c r="B17" t="inlineStr">
        <is>
          <t>Stock-Based Comp</t>
        </is>
      </c>
      <c r="C17">
        <f>_xll.ciqfunctions.udf.CIQ(Snapshot!C3, "IQ_STOCK_BASED_CF", IQ_FQ - 7)</f>
        <v/>
      </c>
      <c r="D17">
        <f>_xll.ciqfunctions.udf.CIQ(Snapshot!C3, "IQ_STOCK_BASED_CF", IQ_FQ - 6)</f>
        <v/>
      </c>
      <c r="E17">
        <f>_xll.ciqfunctions.udf.CIQ(Snapshot!C3, "IQ_STOCK_BASED_CF", IQ_FQ - 5)</f>
        <v/>
      </c>
      <c r="F17">
        <f>_xll.ciqfunctions.udf.CIQ(Snapshot!C3, "IQ_STOCK_BASED_CF", IQ_FQ - 4)</f>
        <v/>
      </c>
      <c r="G17">
        <f>_xll.ciqfunctions.udf.CIQ(Snapshot!C3, "IQ_STOCK_BASED_CF", IQ_FQ - 3)</f>
        <v/>
      </c>
      <c r="H17">
        <f>_xll.ciqfunctions.udf.CIQ(Snapshot!C3, "IQ_STOCK_BASED_CF", IQ_FQ - 2)</f>
        <v/>
      </c>
      <c r="I17">
        <f>_xll.ciqfunctions.udf.CIQ(Snapshot!C3, "IQ_STOCK_BASED_CF", IQ_FQ - 1)</f>
        <v/>
      </c>
      <c r="J17">
        <f>_xll.ciqfunctions.udf.CIQ(Snapshot!C3, "IQ_STOCK_BASED_CF", IQ_FQ)</f>
        <v/>
      </c>
      <c r="K17" t="inlineStr">
        <is>
          <t>TR.StockBasedCompensation</t>
        </is>
      </c>
    </row>
    <row r="18">
      <c r="A18" t="inlineStr">
        <is>
          <t>cash</t>
        </is>
      </c>
      <c r="B18" t="inlineStr">
        <is>
          <t>Cash &amp; Equivalents</t>
        </is>
      </c>
      <c r="C18">
        <f>_xll.ciqfunctions.udf.CIQ(Snapshot!C3, "IQ_CASH_ST_INVEST", IQ_FQ - 7)</f>
        <v/>
      </c>
      <c r="D18">
        <f>_xll.ciqfunctions.udf.CIQ(Snapshot!C3, "IQ_CASH_ST_INVEST", IQ_FQ - 6)</f>
        <v/>
      </c>
      <c r="E18">
        <f>_xll.ciqfunctions.udf.CIQ(Snapshot!C3, "IQ_CASH_ST_INVEST", IQ_FQ - 5)</f>
        <v/>
      </c>
      <c r="F18">
        <f>_xll.ciqfunctions.udf.CIQ(Snapshot!C3, "IQ_CASH_ST_INVEST", IQ_FQ - 4)</f>
        <v/>
      </c>
      <c r="G18">
        <f>_xll.ciqfunctions.udf.CIQ(Snapshot!C3, "IQ_CASH_ST_INVEST", IQ_FQ - 3)</f>
        <v/>
      </c>
      <c r="H18">
        <f>_xll.ciqfunctions.udf.CIQ(Snapshot!C3, "IQ_CASH_ST_INVEST", IQ_FQ - 2)</f>
        <v/>
      </c>
      <c r="I18">
        <f>_xll.ciqfunctions.udf.CIQ(Snapshot!C3, "IQ_CASH_ST_INVEST", IQ_FQ - 1)</f>
        <v/>
      </c>
      <c r="J18">
        <f>_xll.ciqfunctions.udf.CIQ(Snapshot!C3, "IQ_CASH_ST_INVEST", IQ_FQ)</f>
        <v/>
      </c>
      <c r="K18" t="inlineStr">
        <is>
          <t>TR.CashAndSTInvestments</t>
        </is>
      </c>
    </row>
    <row r="19">
      <c r="A19" t="inlineStr">
        <is>
          <t>total_debt</t>
        </is>
      </c>
      <c r="B19" t="inlineStr">
        <is>
          <t>Total Debt</t>
        </is>
      </c>
      <c r="C19">
        <f>_xll.ciqfunctions.udf.CIQ(Snapshot!C3, "IQ_TOTAL_DEBT", IQ_FQ - 7)</f>
        <v/>
      </c>
      <c r="D19">
        <f>_xll.ciqfunctions.udf.CIQ(Snapshot!C3, "IQ_TOTAL_DEBT", IQ_FQ - 6)</f>
        <v/>
      </c>
      <c r="E19">
        <f>_xll.ciqfunctions.udf.CIQ(Snapshot!C3, "IQ_TOTAL_DEBT", IQ_FQ - 5)</f>
        <v/>
      </c>
      <c r="F19">
        <f>_xll.ciqfunctions.udf.CIQ(Snapshot!C3, "IQ_TOTAL_DEBT", IQ_FQ - 4)</f>
        <v/>
      </c>
      <c r="G19">
        <f>_xll.ciqfunctions.udf.CIQ(Snapshot!C3, "IQ_TOTAL_DEBT", IQ_FQ - 3)</f>
        <v/>
      </c>
      <c r="H19">
        <f>_xll.ciqfunctions.udf.CIQ(Snapshot!C3, "IQ_TOTAL_DEBT", IQ_FQ - 2)</f>
        <v/>
      </c>
      <c r="I19">
        <f>_xll.ciqfunctions.udf.CIQ(Snapshot!C3, "IQ_TOTAL_DEBT", IQ_FQ - 1)</f>
        <v/>
      </c>
      <c r="J19">
        <f>_xll.ciqfunctions.udf.CIQ(Snapshot!C3, "IQ_TOTAL_DEBT", IQ_FQ)</f>
        <v/>
      </c>
      <c r="K19" t="inlineStr">
        <is>
          <t>TR.TotalDebtOutstanding</t>
        </is>
      </c>
    </row>
    <row r="20">
      <c r="A20" t="inlineStr">
        <is>
          <t>net_debt</t>
        </is>
      </c>
      <c r="B20" t="inlineStr">
        <is>
          <t>Net Debt</t>
        </is>
      </c>
      <c r="C20">
        <f>IF(C19="","",C19-C18)</f>
        <v/>
      </c>
      <c r="D20">
        <f>IF(D19="","",D19-D18)</f>
        <v/>
      </c>
      <c r="E20">
        <f>IF(E19="","",E19-E18)</f>
        <v/>
      </c>
      <c r="F20">
        <f>IF(F19="","",F19-F18)</f>
        <v/>
      </c>
      <c r="G20">
        <f>IF(G19="","",G19-G18)</f>
        <v/>
      </c>
      <c r="H20">
        <f>IF(H19="","",H19-H18)</f>
        <v/>
      </c>
      <c r="I20">
        <f>IF(I19="","",I19-I18)</f>
        <v/>
      </c>
      <c r="J20">
        <f>IF(J19="","",J19-J18)</f>
        <v/>
      </c>
      <c r="K20" t="inlineStr">
        <is>
          <t>computed</t>
        </is>
      </c>
    </row>
    <row r="21">
      <c r="A21" t="inlineStr">
        <is>
          <t>total_equity</t>
        </is>
      </c>
      <c r="B21" t="inlineStr">
        <is>
          <t>Total Equity</t>
        </is>
      </c>
      <c r="C21">
        <f>_xll.ciqfunctions.udf.CIQ(Snapshot!C3, "IQ_TOTAL_EQUITY", IQ_FQ - 7)</f>
        <v/>
      </c>
      <c r="D21">
        <f>_xll.ciqfunctions.udf.CIQ(Snapshot!C3, "IQ_TOTAL_EQUITY", IQ_FQ - 6)</f>
        <v/>
      </c>
      <c r="E21">
        <f>_xll.ciqfunctions.udf.CIQ(Snapshot!C3, "IQ_TOTAL_EQUITY", IQ_FQ - 5)</f>
        <v/>
      </c>
      <c r="F21">
        <f>_xll.ciqfunctions.udf.CIQ(Snapshot!C3, "IQ_TOTAL_EQUITY", IQ_FQ - 4)</f>
        <v/>
      </c>
      <c r="G21">
        <f>_xll.ciqfunctions.udf.CIQ(Snapshot!C3, "IQ_TOTAL_EQUITY", IQ_FQ - 3)</f>
        <v/>
      </c>
      <c r="H21">
        <f>_xll.ciqfunctions.udf.CIQ(Snapshot!C3, "IQ_TOTAL_EQUITY", IQ_FQ - 2)</f>
        <v/>
      </c>
      <c r="I21">
        <f>_xll.ciqfunctions.udf.CIQ(Snapshot!C3, "IQ_TOTAL_EQUITY", IQ_FQ - 1)</f>
        <v/>
      </c>
      <c r="J21">
        <f>_xll.ciqfunctions.udf.CIQ(Snapshot!C3, "IQ_TOTAL_EQUITY", IQ_FQ)</f>
        <v/>
      </c>
      <c r="K21" t="inlineStr">
        <is>
          <t>TR.TotalEquity</t>
        </is>
      </c>
    </row>
    <row r="22">
      <c r="A22" t="inlineStr">
        <is>
          <t>diluted_shares</t>
        </is>
      </c>
      <c r="B22" t="inlineStr">
        <is>
          <t>Diluted Shares</t>
        </is>
      </c>
      <c r="C22">
        <f>_xll.ciqfunctions.udf.CIQ(Snapshot!C3, "IQ_DILUT_WEIGHT", IQ_FQ - 7)</f>
        <v/>
      </c>
      <c r="D22">
        <f>_xll.ciqfunctions.udf.CIQ(Snapshot!C3, "IQ_DILUT_WEIGHT", IQ_FQ - 6)</f>
        <v/>
      </c>
      <c r="E22">
        <f>_xll.ciqfunctions.udf.CIQ(Snapshot!C3, "IQ_DILUT_WEIGHT", IQ_FQ - 5)</f>
        <v/>
      </c>
      <c r="F22">
        <f>_xll.ciqfunctions.udf.CIQ(Snapshot!C3, "IQ_DILUT_WEIGHT", IQ_FQ - 4)</f>
        <v/>
      </c>
      <c r="G22">
        <f>_xll.ciqfunctions.udf.CIQ(Snapshot!C3, "IQ_DILUT_WEIGHT", IQ_FQ - 3)</f>
        <v/>
      </c>
      <c r="H22">
        <f>_xll.ciqfunctions.udf.CIQ(Snapshot!C3, "IQ_DILUT_WEIGHT", IQ_FQ - 2)</f>
        <v/>
      </c>
      <c r="I22">
        <f>_xll.ciqfunctions.udf.CIQ(Snapshot!C3, "IQ_DILUT_WEIGHT", IQ_FQ - 1)</f>
        <v/>
      </c>
      <c r="J22">
        <f>_xll.ciqfunctions.udf.CIQ(Snapshot!C3, "IQ_DILUT_WEIGHT", IQ_FQ)</f>
        <v/>
      </c>
      <c r="K22" t="inlineStr">
        <is>
          <t>TR.DilutedWeightedAvgShares</t>
        </is>
      </c>
    </row>
    <row r="23">
      <c r="A23" t="inlineStr">
        <is>
          <t>eps</t>
        </is>
      </c>
      <c r="B23" t="inlineStr">
        <is>
          <t>EPS (diluted)</t>
        </is>
      </c>
      <c r="C23">
        <f>IFERROR(C11/C22*1,"")</f>
        <v/>
      </c>
      <c r="D23">
        <f>IFERROR(D11/D22*1,"")</f>
        <v/>
      </c>
      <c r="E23">
        <f>IFERROR(E11/E22*1,"")</f>
        <v/>
      </c>
      <c r="F23">
        <f>IFERROR(F11/F22*1,"")</f>
        <v/>
      </c>
      <c r="G23">
        <f>IFERROR(G11/G22*1,"")</f>
        <v/>
      </c>
      <c r="H23">
        <f>IFERROR(H11/H22*1,"")</f>
        <v/>
      </c>
      <c r="I23">
        <f>IFERROR(I11/I22*1,"")</f>
        <v/>
      </c>
      <c r="J23">
        <f>IFERROR(J11/J22*1,"")</f>
        <v/>
      </c>
      <c r="K23" t="inlineStr">
        <is>
          <t>computed</t>
        </is>
      </c>
    </row>
    <row r="24">
      <c r="A24" s="97" t="inlineStr">
        <is>
          <t>eps_street</t>
        </is>
      </c>
      <c r="B24" s="97" t="inlineStr">
        <is>
          <t>EPS actual (street basis)</t>
        </is>
      </c>
      <c r="C24" s="97">
        <f>_xll.ciqfunctions.udf.CIQ(Snapshot!C3, "IQ_EPS_ACT", IQ_FQ - 7)</f>
        <v/>
      </c>
      <c r="D24" s="97">
        <f>_xll.ciqfunctions.udf.CIQ(Snapshot!C3, "IQ_EPS_ACT", IQ_FQ - 6)</f>
        <v/>
      </c>
      <c r="E24" s="97">
        <f>_xll.ciqfunctions.udf.CIQ(Snapshot!C3, "IQ_EPS_ACT", IQ_FQ - 5)</f>
        <v/>
      </c>
      <c r="F24" s="97">
        <f>_xll.ciqfunctions.udf.CIQ(Snapshot!C3, "IQ_EPS_ACT", IQ_FQ - 4)</f>
        <v/>
      </c>
      <c r="G24" s="97">
        <f>_xll.ciqfunctions.udf.CIQ(Snapshot!C3, "IQ_EPS_ACT", IQ_FQ - 3)</f>
        <v/>
      </c>
      <c r="H24" s="97">
        <f>_xll.ciqfunctions.udf.CIQ(Snapshot!C3, "IQ_EPS_ACT", IQ_FQ - 2)</f>
        <v/>
      </c>
      <c r="I24" s="97">
        <f>_xll.ciqfunctions.udf.CIQ(Snapshot!C3, "IQ_EPS_ACT", IQ_FQ - 1)</f>
        <v/>
      </c>
      <c r="J24" s="97">
        <f>_xll.ciqfunctions.udf.CIQ(Snapshot!C3, "IQ_EPS_ACT", IQ_FQ)</f>
        <v/>
      </c>
      <c r="K24" s="97" t="inlineStr">
        <is>
          <t>TR.EPSActValue</t>
        </is>
      </c>
    </row>
    <row r="25">
      <c r="A25" s="97" t="inlineStr">
        <is>
          <t>eps_consensus</t>
        </is>
      </c>
      <c r="B25" s="97" t="inlineStr">
        <is>
          <t>EPS estimate (consensus mean)</t>
        </is>
      </c>
      <c r="C25" s="97">
        <f>_xll.ciqfunctions.udf.CIQ(Snapshot!C3, "IQ_EPS_EST", IQ_FQ - 7)</f>
        <v/>
      </c>
      <c r="D25" s="97">
        <f>_xll.ciqfunctions.udf.CIQ(Snapshot!C3, "IQ_EPS_EST", IQ_FQ - 6)</f>
        <v/>
      </c>
      <c r="E25" s="97">
        <f>_xll.ciqfunctions.udf.CIQ(Snapshot!C3, "IQ_EPS_EST", IQ_FQ - 5)</f>
        <v/>
      </c>
      <c r="F25" s="97">
        <f>_xll.ciqfunctions.udf.CIQ(Snapshot!C3, "IQ_EPS_EST", IQ_FQ - 4)</f>
        <v/>
      </c>
      <c r="G25" s="97">
        <f>_xll.ciqfunctions.udf.CIQ(Snapshot!C3, "IQ_EPS_EST", IQ_FQ - 3)</f>
        <v/>
      </c>
      <c r="H25" s="97">
        <f>_xll.ciqfunctions.udf.CIQ(Snapshot!C3, "IQ_EPS_EST", IQ_FQ - 2)</f>
        <v/>
      </c>
      <c r="I25" s="97">
        <f>_xll.ciqfunctions.udf.CIQ(Snapshot!C3, "IQ_EPS_EST", IQ_FQ - 1)</f>
        <v/>
      </c>
      <c r="J25" s="97">
        <f>_xll.ciqfunctions.udf.CIQ(Snapshot!C3, "IQ_EPS_EST", IQ_FQ)</f>
        <v/>
      </c>
      <c r="K25" s="97" t="inlineStr">
        <is>
          <t>TR.EPSMean</t>
        </is>
      </c>
    </row>
    <row r="26">
      <c r="A26" s="97" t="inlineStr">
        <is>
          <t>revenue_consensus</t>
        </is>
      </c>
      <c r="B26" s="97" t="inlineStr">
        <is>
          <t>Revenue estimate (consensus mean)</t>
        </is>
      </c>
      <c r="C26" s="97">
        <f>_xll.ciqfunctions.udf.CIQ(Snapshot!C3, "IQ_REVENUE_EST", IQ_FQ - 7)</f>
        <v/>
      </c>
      <c r="D26" s="97">
        <f>_xll.ciqfunctions.udf.CIQ(Snapshot!C3, "IQ_REVENUE_EST", IQ_FQ - 6)</f>
        <v/>
      </c>
      <c r="E26" s="97">
        <f>_xll.ciqfunctions.udf.CIQ(Snapshot!C3, "IQ_REVENUE_EST", IQ_FQ - 5)</f>
        <v/>
      </c>
      <c r="F26" s="97">
        <f>_xll.ciqfunctions.udf.CIQ(Snapshot!C3, "IQ_REVENUE_EST", IQ_FQ - 4)</f>
        <v/>
      </c>
      <c r="G26" s="97">
        <f>_xll.ciqfunctions.udf.CIQ(Snapshot!C3, "IQ_REVENUE_EST", IQ_FQ - 3)</f>
        <v/>
      </c>
      <c r="H26" s="97">
        <f>_xll.ciqfunctions.udf.CIQ(Snapshot!C3, "IQ_REVENUE_EST", IQ_FQ - 2)</f>
        <v/>
      </c>
      <c r="I26" s="97">
        <f>_xll.ciqfunctions.udf.CIQ(Snapshot!C3, "IQ_REVENUE_EST", IQ_FQ - 1)</f>
        <v/>
      </c>
      <c r="J26" s="97">
        <f>_xll.ciqfunctions.udf.CIQ(Snapshot!C3, "IQ_REVENUE_EST", IQ_FQ)</f>
        <v/>
      </c>
      <c r="K26" s="97" t="inlineStr">
        <is>
          <t>TR.RevenueMean</t>
        </is>
      </c>
    </row>
    <row r="27">
      <c r="A27" s="97" t="inlineStr">
        <is>
          <t>fiscal_year</t>
        </is>
      </c>
      <c r="B27" s="97" t="inlineStr">
        <is>
          <t>Fiscal year (labels the column)</t>
        </is>
      </c>
      <c r="C27" s="97">
        <f>_xll.ciqfunctions.udf.CIQ(Snapshot!C3, "IQ_FISCAL_Y", IQ_FQ - 7)</f>
        <v/>
      </c>
      <c r="D27" s="97">
        <f>_xll.ciqfunctions.udf.CIQ(Snapshot!C3, "IQ_FISCAL_Y", IQ_FQ - 6)</f>
        <v/>
      </c>
      <c r="E27" s="97">
        <f>_xll.ciqfunctions.udf.CIQ(Snapshot!C3, "IQ_FISCAL_Y", IQ_FQ - 5)</f>
        <v/>
      </c>
      <c r="F27" s="97">
        <f>_xll.ciqfunctions.udf.CIQ(Snapshot!C3, "IQ_FISCAL_Y", IQ_FQ - 4)</f>
        <v/>
      </c>
      <c r="G27" s="97">
        <f>_xll.ciqfunctions.udf.CIQ(Snapshot!C3, "IQ_FISCAL_Y", IQ_FQ - 3)</f>
        <v/>
      </c>
      <c r="H27" s="97">
        <f>_xll.ciqfunctions.udf.CIQ(Snapshot!C3, "IQ_FISCAL_Y", IQ_FQ - 2)</f>
        <v/>
      </c>
      <c r="I27" s="97">
        <f>_xll.ciqfunctions.udf.CIQ(Snapshot!C3, "IQ_FISCAL_Y", IQ_FQ - 1)</f>
        <v/>
      </c>
      <c r="J27" s="97">
        <f>_xll.ciqfunctions.udf.CIQ(Snapshot!C3, "IQ_FISCAL_Y", IQ_FQ)</f>
        <v/>
      </c>
      <c r="K27" s="97" t="inlineStr">
        <is>
          <t>TR.FiscalYear</t>
        </is>
      </c>
    </row>
    <row r="28">
      <c r="A28" s="97" t="inlineStr">
        <is>
          <t>fiscal_quarter</t>
        </is>
      </c>
      <c r="B28" s="97" t="inlineStr">
        <is>
          <t>Fiscal quarter (labels the column)</t>
        </is>
      </c>
      <c r="C28" s="97">
        <f>_xll.ciqfunctions.udf.CIQ(Snapshot!C3, "IQ_FISCAL_Q", IQ_FQ - 7)</f>
        <v/>
      </c>
      <c r="D28" s="97">
        <f>_xll.ciqfunctions.udf.CIQ(Snapshot!C3, "IQ_FISCAL_Q", IQ_FQ - 6)</f>
        <v/>
      </c>
      <c r="E28" s="97">
        <f>_xll.ciqfunctions.udf.CIQ(Snapshot!C3, "IQ_FISCAL_Q", IQ_FQ - 5)</f>
        <v/>
      </c>
      <c r="F28" s="97">
        <f>_xll.ciqfunctions.udf.CIQ(Snapshot!C3, "IQ_FISCAL_Q", IQ_FQ - 4)</f>
        <v/>
      </c>
      <c r="G28" s="97">
        <f>_xll.ciqfunctions.udf.CIQ(Snapshot!C3, "IQ_FISCAL_Q", IQ_FQ - 3)</f>
        <v/>
      </c>
      <c r="H28" s="97">
        <f>_xll.ciqfunctions.udf.CIQ(Snapshot!C3, "IQ_FISCAL_Q", IQ_FQ - 2)</f>
        <v/>
      </c>
      <c r="I28" s="97">
        <f>_xll.ciqfunctions.udf.CIQ(Snapshot!C3, "IQ_FISCAL_Q", IQ_FQ - 1)</f>
        <v/>
      </c>
      <c r="J28" s="97">
        <f>_xll.ciqfunctions.udf.CIQ(Snapshot!C3, "IQ_FISCAL_Q", IQ_FQ)</f>
        <v/>
      </c>
      <c r="K28" s="97" t="inlineStr">
        <is>
          <t>TR.FiscalQuarter</t>
        </is>
      </c>
    </row>
    <row r="29">
      <c r="A29" s="97" t="inlineStr">
        <is>
          <t>period_end</t>
        </is>
      </c>
      <c r="B29" s="97" t="inlineStr">
        <is>
          <t>Period end date (names a quarter no fiscal row names)</t>
        </is>
      </c>
      <c r="C29" s="98">
        <f>_xll.ciqfunctions.udf.CIQ(Snapshot!C3, "IQ_PERIODDATE", IQ_FQ - 7)</f>
        <v/>
      </c>
      <c r="D29" s="98">
        <f>_xll.ciqfunctions.udf.CIQ(Snapshot!C3, "IQ_PERIODDATE", IQ_FQ - 6)</f>
        <v/>
      </c>
      <c r="E29" s="98">
        <f>_xll.ciqfunctions.udf.CIQ(Snapshot!C3, "IQ_PERIODDATE", IQ_FQ - 5)</f>
        <v/>
      </c>
      <c r="F29" s="98">
        <f>_xll.ciqfunctions.udf.CIQ(Snapshot!C3, "IQ_PERIODDATE", IQ_FQ - 4)</f>
        <v/>
      </c>
      <c r="G29" s="98">
        <f>_xll.ciqfunctions.udf.CIQ(Snapshot!C3, "IQ_PERIODDATE", IQ_FQ - 3)</f>
        <v/>
      </c>
      <c r="H29" s="98">
        <f>_xll.ciqfunctions.udf.CIQ(Snapshot!C3, "IQ_PERIODDATE", IQ_FQ - 2)</f>
        <v/>
      </c>
      <c r="I29" s="98">
        <f>_xll.ciqfunctions.udf.CIQ(Snapshot!C3, "IQ_PERIODDATE", IQ_FQ - 1)</f>
        <v/>
      </c>
      <c r="J29" s="98">
        <f>_xll.ciqfunctions.udf.CIQ(Snapshot!C3, "IQ_PERIODDATE", IQ_FQ)</f>
        <v/>
      </c>
      <c r="K29" s="97" t="inlineStr">
        <is>
          <t>IQ_PERIODDATE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43"/>
  <sheetViews>
    <sheetView workbookViewId="0">
      <selection activeCell="D37" sqref="D37"/>
    </sheetView>
  </sheetViews>
  <sheetFormatPr baseColWidth="8" defaultRowHeight="15"/>
  <cols>
    <col width="34" customWidth="1" style="90" min="1" max="1"/>
    <col width="16" customWidth="1" style="90" min="2" max="2"/>
    <col width="8" customWidth="1" style="90" min="3" max="3"/>
    <col width="14" customWidth="1" style="90" min="4" max="5"/>
    <col width="12" customWidth="1" style="90" min="6" max="6"/>
  </cols>
  <sheetData>
    <row r="1" ht="24" customHeight="1" s="90">
      <c r="A1" s="91" t="inlineStr">
        <is>
          <t>DENNIS — valuation &amp; bear/base/bull</t>
        </is>
      </c>
    </row>
    <row r="2">
      <c r="A2" s="92" t="inlineStr">
        <is>
          <t>Bear/base/bull exit multiples AUTO-SUGGEST from peer P/E percentiles (yellow, override anytime). WACC + reverse DCF below are fully auto. A loss per share has no bear/base/bull price, and negative free cash flow has no implied growth: those cells stay blank.</t>
        </is>
      </c>
    </row>
    <row r="4">
      <c r="A4" s="24" t="inlineStr">
        <is>
          <t>Inputs &amp; links</t>
        </is>
      </c>
      <c r="B4" s="25" t="n"/>
      <c r="C4" s="25" t="n"/>
      <c r="D4" s="25" t="n"/>
      <c r="E4" s="25" t="n"/>
      <c r="F4" s="25" t="n"/>
    </row>
    <row r="5">
      <c r="A5" t="inlineStr">
        <is>
          <t>Current price</t>
        </is>
      </c>
      <c r="B5" s="26">
        <f>Snapshot!D15</f>
        <v/>
      </c>
    </row>
    <row r="6">
      <c r="A6" t="inlineStr">
        <is>
          <t>LTM EPS</t>
        </is>
      </c>
      <c r="B6" s="26">
        <f>History!H28</f>
        <v/>
      </c>
    </row>
    <row r="7">
      <c r="A7" t="inlineStr">
        <is>
          <t>LTM FCF / share</t>
        </is>
      </c>
      <c r="B7" s="26">
        <f>History!H29</f>
        <v/>
      </c>
    </row>
    <row r="9">
      <c r="A9" s="27" t="inlineStr">
        <is>
          <t>Scenario</t>
        </is>
      </c>
      <c r="B9" s="27" t="inlineStr">
        <is>
          <t>Metric</t>
        </is>
      </c>
      <c r="C9" s="27" t="inlineStr">
        <is>
          <t>(EPS)</t>
        </is>
      </c>
      <c r="D9" s="27" t="inlineStr">
        <is>
          <t>Exit multiple</t>
        </is>
      </c>
      <c r="E9" s="27" t="inlineStr">
        <is>
          <t>Implied price</t>
        </is>
      </c>
      <c r="F9" s="27" t="inlineStr">
        <is>
          <t>Upside %</t>
        </is>
      </c>
    </row>
    <row r="10">
      <c r="A10" s="28" t="inlineStr">
        <is>
          <t>Bear</t>
        </is>
      </c>
      <c r="B10" s="29">
        <f>B6</f>
        <v/>
      </c>
      <c r="C10" s="7" t="inlineStr">
        <is>
          <t>EPS</t>
        </is>
      </c>
      <c r="D10" s="62">
        <f>IFERROR(PERCENTILE(Peers!N5:N54,0.25),"")</f>
        <v/>
      </c>
      <c r="E10" s="29">
        <f>IF(AND(ISNUMBER(B10),N(B10)&gt;0,ISNUMBER(D10)),B10*D10,"")</f>
        <v/>
      </c>
      <c r="F10" s="30">
        <f>IF(ISNUMBER(E10),(E10/$B$5-1)*100,"")</f>
        <v/>
      </c>
    </row>
    <row r="11">
      <c r="A11" s="28" t="inlineStr">
        <is>
          <t>Base</t>
        </is>
      </c>
      <c r="B11" s="29">
        <f>B6</f>
        <v/>
      </c>
      <c r="C11" s="7" t="inlineStr">
        <is>
          <t>EPS</t>
        </is>
      </c>
      <c r="D11" s="62">
        <f>IFERROR(PERCENTILE(Peers!N5:N54,0.5),"")</f>
        <v/>
      </c>
      <c r="E11" s="29">
        <f>IF(AND(ISNUMBER(B11),N(B11)&gt;0,ISNUMBER(D11)),B11*D11,"")</f>
        <v/>
      </c>
      <c r="F11" s="30">
        <f>IF(ISNUMBER(E11),(E11/$B$5-1)*100,"")</f>
        <v/>
      </c>
    </row>
    <row r="12">
      <c r="A12" s="28" t="inlineStr">
        <is>
          <t>Bull</t>
        </is>
      </c>
      <c r="B12" s="29">
        <f>B6</f>
        <v/>
      </c>
      <c r="C12" s="7" t="inlineStr">
        <is>
          <t>EPS</t>
        </is>
      </c>
      <c r="D12" s="62">
        <f>IFERROR(PERCENTILE(Peers!N5:N54,0.75),"")</f>
        <v/>
      </c>
      <c r="E12" s="29">
        <f>IF(AND(ISNUMBER(B12),N(B12)&gt;0,ISNUMBER(D12)),B12*D12,"")</f>
        <v/>
      </c>
      <c r="F12" s="30">
        <f>IF(ISNUMBER(E12),(E12/$B$5-1)*100,"")</f>
        <v/>
      </c>
    </row>
    <row r="14">
      <c r="A14" s="89" t="inlineStr">
        <is>
          <t>Swap the metric to FCF/share (=B7) and use a P/FCF multiple for a cash-based valuation.</t>
        </is>
      </c>
    </row>
    <row r="16">
      <c r="A16" s="57" t="inlineStr">
        <is>
          <t>WACC (auto — CAPM)</t>
        </is>
      </c>
      <c r="B16" s="63" t="n"/>
      <c r="C16" s="63" t="n"/>
      <c r="D16" s="63" t="n"/>
      <c r="E16" s="63" t="n"/>
      <c r="F16" s="63" t="n"/>
    </row>
    <row r="17">
      <c r="A17" s="55" t="inlineStr">
        <is>
          <t>Risk-free rate (10Y)</t>
        </is>
      </c>
      <c r="B17" s="64" t="n">
        <v>0.043</v>
      </c>
    </row>
    <row r="18">
      <c r="A18" s="55" t="inlineStr">
        <is>
          <t>Equity risk premium</t>
        </is>
      </c>
      <c r="B18" s="64" t="n">
        <v>0.05</v>
      </c>
    </row>
    <row r="19">
      <c r="A19" s="55" t="inlineStr">
        <is>
          <t>Beta (5y)</t>
        </is>
      </c>
      <c r="B19" s="65">
        <f>Snapshot!D21</f>
        <v/>
      </c>
    </row>
    <row r="20">
      <c r="A20" s="55" t="inlineStr">
        <is>
          <t>Cost of equity (Ke)</t>
        </is>
      </c>
      <c r="B20" s="66">
        <f>B17+B19*B18</f>
        <v/>
      </c>
    </row>
    <row r="21">
      <c r="A21" s="55" t="inlineStr">
        <is>
          <t>Pre-tax cost of debt</t>
        </is>
      </c>
      <c r="B21" s="66">
        <f>B17+0.015</f>
        <v/>
      </c>
    </row>
    <row r="22">
      <c r="A22" s="55" t="inlineStr">
        <is>
          <t>Tax rate</t>
        </is>
      </c>
      <c r="B22" s="64" t="n">
        <v>0.21</v>
      </c>
    </row>
    <row r="23">
      <c r="A23" s="55" t="inlineStr">
        <is>
          <t>After-tax cost of debt</t>
        </is>
      </c>
      <c r="B23" s="66">
        <f>B21*(1-B22)</f>
        <v/>
      </c>
    </row>
    <row r="24">
      <c r="A24" s="55" t="inlineStr">
        <is>
          <t>Equity value (mkt cap)</t>
        </is>
      </c>
      <c r="B24" s="67">
        <f>Snapshot!D16</f>
        <v/>
      </c>
    </row>
    <row r="25">
      <c r="A25" s="55" t="inlineStr">
        <is>
          <t>Total debt</t>
        </is>
      </c>
      <c r="B25" s="67">
        <f>Snapshot!D40</f>
        <v/>
      </c>
    </row>
    <row r="26">
      <c r="A26" s="55" t="inlineStr">
        <is>
          <t>Debt weight</t>
        </is>
      </c>
      <c r="B26" s="68">
        <f>IFERROR(B25/(B24+B25),0)</f>
        <v/>
      </c>
    </row>
    <row r="27">
      <c r="A27" s="55" t="inlineStr">
        <is>
          <t>Equity weight</t>
        </is>
      </c>
      <c r="B27" s="68">
        <f>IFERROR(B24/(B24+B25),1)</f>
        <v/>
      </c>
    </row>
    <row r="28">
      <c r="A28" s="55" t="inlineStr">
        <is>
          <t>WACC</t>
        </is>
      </c>
      <c r="B28" s="69">
        <f>B27*B20+B26*B23</f>
        <v/>
      </c>
    </row>
    <row r="30">
      <c r="A30" s="57" t="inlineStr">
        <is>
          <t>Reverse DCF — growth priced into today's price</t>
        </is>
      </c>
      <c r="B30" s="63" t="n"/>
      <c r="C30" s="63" t="n"/>
      <c r="D30" s="63" t="n"/>
      <c r="E30" s="63" t="n"/>
      <c r="F30" s="63" t="n"/>
    </row>
    <row r="31">
      <c r="A31" s="55" t="inlineStr">
        <is>
          <t>Enterprise value (EV)</t>
        </is>
      </c>
      <c r="B31" s="67">
        <f>Snapshot!D17</f>
        <v/>
      </c>
    </row>
    <row r="32">
      <c r="A32" s="55" t="inlineStr">
        <is>
          <t>FCF base (LTM)</t>
        </is>
      </c>
      <c r="B32" s="67">
        <f>History!H15</f>
        <v/>
      </c>
    </row>
    <row r="33">
      <c r="A33" s="55" t="inlineStr">
        <is>
          <t>FCF / EV yield</t>
        </is>
      </c>
      <c r="B33" s="66">
        <f>IF(N(B31)&gt;0,IFERROR(B32/B31,""),"")</f>
        <v/>
      </c>
    </row>
    <row r="34">
      <c r="A34" s="55" t="inlineStr">
        <is>
          <t>Implied growth  (WACC − FCF/EV)</t>
        </is>
      </c>
      <c r="B34" s="69">
        <f>IF(AND(N(B32)&gt;0,ISNUMBER(B33)),B28-B33,"")</f>
        <v/>
      </c>
    </row>
    <row r="35">
      <c r="A35" s="55" t="inlineStr">
        <is>
          <t>Historical FCF CAGR (4y)</t>
        </is>
      </c>
      <c r="B35" s="70">
        <f>IFERROR(History!I15/100,"")</f>
        <v/>
      </c>
    </row>
    <row r="36">
      <c r="A36" s="55" t="inlineStr">
        <is>
          <t>Revenue CAGR (4y)</t>
        </is>
      </c>
      <c r="B36" s="70">
        <f>IFERROR(History!I5/100,"")</f>
        <v/>
      </c>
    </row>
    <row r="37">
      <c r="A37" s="55" t="inlineStr">
        <is>
          <t>Priced-for − delivered (FCF)</t>
        </is>
      </c>
      <c r="B37" s="66">
        <f>IF(AND(ISNUMBER(B34),ISNUMBER(B35)),B34-B35,"")</f>
        <v/>
      </c>
    </row>
    <row r="38">
      <c r="A38" s="55" t="inlineStr">
        <is>
          <t>Read</t>
        </is>
      </c>
      <c r="B38" s="56">
        <f>IF(OR(NOT(ISNUMBER(B34)),NOT(ISNUMBER(B35))),"",IF(B34&gt;B35,"market prices in MORE growth than history delivered","market prices in LESS growth than history delivered"))</f>
        <v/>
      </c>
    </row>
    <row r="40">
      <c r="A40" s="61" t="inlineStr">
        <is>
          <t>Implied growth sensitivity (WACC ±1%)</t>
        </is>
      </c>
    </row>
    <row r="41">
      <c r="A41" s="55" t="inlineStr">
        <is>
          <t>WACC −1%</t>
        </is>
      </c>
      <c r="B41" s="66">
        <f>IF(ISNUMBER(B34),(B28-0.01)-B33,"")</f>
        <v/>
      </c>
    </row>
    <row r="42">
      <c r="A42" s="55" t="inlineStr">
        <is>
          <t>WACC base</t>
        </is>
      </c>
      <c r="B42" s="66">
        <f>B34</f>
        <v/>
      </c>
    </row>
    <row r="43">
      <c r="A43" s="55" t="inlineStr">
        <is>
          <t>WACC +1%</t>
        </is>
      </c>
      <c r="B43" s="66">
        <f>IF(ISNUMBER(B34),(B28+0.01)-B33,"")</f>
        <v/>
      </c>
    </row>
  </sheetData>
  <mergeCells count="3">
    <mergeCell ref="A2:F2"/>
    <mergeCell ref="A14:F14"/>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AB77"/>
  <sheetViews>
    <sheetView topLeftCell="A8" zoomScale="70" zoomScaleNormal="70" workbookViewId="0">
      <selection activeCell="A56" sqref="A56"/>
    </sheetView>
  </sheetViews>
  <sheetFormatPr baseColWidth="8" defaultRowHeight="15"/>
  <cols>
    <col width="20" customWidth="1" style="90" min="1" max="1"/>
    <col width="12" customWidth="1" style="90" min="2" max="4"/>
    <col width="22" customWidth="1" style="90" min="5" max="5"/>
    <col width="20" customWidth="1" style="90" min="6" max="6"/>
    <col width="12" customWidth="1" style="90" min="7" max="9"/>
    <col width="14.85546875" bestFit="1" customWidth="1" style="90" min="10" max="10"/>
    <col width="13" customWidth="1" style="90" min="11" max="13"/>
    <col hidden="1" width="13" customWidth="1" style="90" min="14" max="21"/>
  </cols>
  <sheetData>
    <row r="1" ht="24" customHeight="1" s="90">
      <c r="A1" s="91" t="inlineStr">
        <is>
          <t>DENNIS — peers (auto via PEERS(); optional / long-form)</t>
        </is>
      </c>
    </row>
    <row r="2">
      <c r="A2" s="89" t="inlineStr">
        <is>
          <t>Auto-pulls Refinitiv's peer list for the ticker — no manual RICs. Optional: mainly for long-form context.</t>
        </is>
      </c>
    </row>
    <row r="4" ht="30" customHeight="1" s="90">
      <c r="A4" s="2" t="inlineStr">
        <is>
          <t>Peer (auto)</t>
        </is>
      </c>
      <c r="B4" s="21" t="inlineStr">
        <is>
          <t>Price</t>
        </is>
      </c>
      <c r="C4" s="21" t="inlineStr">
        <is>
          <t>Market Cap</t>
        </is>
      </c>
      <c r="D4" s="21" t="inlineStr">
        <is>
          <t>P/E</t>
        </is>
      </c>
      <c r="E4" s="21" t="inlineStr">
        <is>
          <t>EV/EBITDA</t>
        </is>
      </c>
      <c r="F4" s="21" t="inlineStr">
        <is>
          <t>P/S</t>
        </is>
      </c>
      <c r="G4" s="74" t="inlineStr">
        <is>
          <t>Gross Mgn %</t>
        </is>
      </c>
      <c r="H4" s="74" t="inlineStr">
        <is>
          <t>Net Mgn %</t>
        </is>
      </c>
      <c r="I4" s="74" t="inlineStr">
        <is>
          <t>FCF Yield %</t>
        </is>
      </c>
      <c r="J4" s="74" t="inlineStr">
        <is>
          <t>NetDebt/EBITDA</t>
        </is>
      </c>
      <c r="K4" s="74" t="inlineStr">
        <is>
          <t>Rev LTM (now)</t>
        </is>
      </c>
      <c r="L4" s="81" t="inlineStr">
        <is>
          <t>Rev LTM (-3Y)</t>
        </is>
      </c>
      <c r="M4" s="81" t="inlineStr">
        <is>
          <t>Rev Growth % (3Y CAGR)</t>
        </is>
      </c>
      <c r="N4" s="60" t="inlineStr">
        <is>
          <t>cln P/E</t>
        </is>
      </c>
      <c r="O4" s="60" t="inlineStr">
        <is>
          <t>cln EV/EBITDA</t>
        </is>
      </c>
      <c r="P4" s="60" t="inlineStr">
        <is>
          <t>cln P/S</t>
        </is>
      </c>
      <c r="Q4" s="60" t="inlineStr">
        <is>
          <t>cln GrossM</t>
        </is>
      </c>
      <c r="R4" s="60" t="inlineStr">
        <is>
          <t>cln NetM</t>
        </is>
      </c>
      <c r="S4" s="60" t="inlineStr">
        <is>
          <t>cln FCFY</t>
        </is>
      </c>
      <c r="T4" s="60" t="inlineStr">
        <is>
          <t>cln ND/EBITDA</t>
        </is>
      </c>
      <c r="U4" s="60" t="inlineStr">
        <is>
          <t>cln RevGrw3Y</t>
        </is>
      </c>
      <c r="W4" s="87" t="inlineStr">
        <is>
          <t>Peer (chk)</t>
        </is>
      </c>
      <c r="X4" s="87" t="inlineStr">
        <is>
          <t>Fwd P/E</t>
        </is>
      </c>
      <c r="Y4" s="87" t="inlineStr">
        <is>
          <t>Fwd PEG</t>
        </is>
      </c>
      <c r="Z4" s="87" t="inlineStr">
        <is>
          <t>cln FwdP/E</t>
        </is>
      </c>
      <c r="AA4" s="87" t="inlineStr">
        <is>
          <t>cln FwdPEG</t>
        </is>
      </c>
    </row>
    <row r="5">
      <c r="A5" s="31">
        <f>_xll.TR("PEERS("&amp;Snapshot!$B$3&amp;")",_xlfn._LONGTEXT("TR.CommonName;TR.PriceClose;TR.CompanyMarketCap(Scale=6);TR.PE;TR.EVToEBITDA;TR.PriceToSalesPerShare;TR.GrossMargin;TR.NetProfitMargin;TR.FreeOperatingCashFlowExclDividends(Period=LTM,SDate=0D,Curn=USD)/TR.CompanyMarketCap(SDate=0D,Curn=USD)*100/*Free Cas","h Flow Yield*/;TR.NetDebt/TR.EBITDA(Period=LTM)/*Net Debt to EBITDA*/;TR.Revenue(Period=LTM,Scale=6)/*Rev LTM (now)*/;TR.Revenue(Period=LTM-3,Scale=6)/*Rev LTM (-3)*/"))</f>
        <v/>
      </c>
      <c r="D5" s="38" t="n"/>
      <c r="E5" s="38" t="n"/>
      <c r="I5" s="38" t="n"/>
      <c r="J5" s="38" t="n"/>
      <c r="M5" s="84">
        <f>IFERROR(((K5/L5)^(1/3)-1)*100,"")</f>
        <v/>
      </c>
      <c r="N5" s="92">
        <f>IF(ISNUMBER(D5),D5,"")</f>
        <v/>
      </c>
      <c r="O5" s="92">
        <f>IF(ISNUMBER(E5),E5,"")</f>
        <v/>
      </c>
      <c r="P5" s="92">
        <f>IF(ISNUMBER(F5),F5,"")</f>
        <v/>
      </c>
      <c r="Q5" s="92">
        <f>IF(ISNUMBER(G5),G5,"")</f>
        <v/>
      </c>
      <c r="R5" s="92">
        <f>IF(ISNUMBER(H5),H5,"")</f>
        <v/>
      </c>
      <c r="S5" s="92">
        <f>IF(ISNUMBER(I5),I5,"")</f>
        <v/>
      </c>
      <c r="T5" s="92">
        <f>IF(ISNUMBER(J5),J5,"")</f>
        <v/>
      </c>
      <c r="U5" s="92">
        <f>IF(ISNUMBER(M5),M5,"")</f>
        <v/>
      </c>
      <c r="W5">
        <f>_xll.TR("PEERS("&amp;Snapshot!$B$3&amp;")","TR.CommonName;TR.FwdPE;TR.FwdPEG")</f>
        <v/>
      </c>
      <c r="Y5" s="38" t="n"/>
      <c r="Z5">
        <f>IF(AND($W5=$A5,ISNUMBER($X5)),$X5,"")</f>
        <v/>
      </c>
      <c r="AA5">
        <f>IF(AND($W5=$A5,ISNUMBER($Y5)),$Y5,"")</f>
        <v/>
      </c>
      <c r="AB5" s="38" t="n"/>
    </row>
    <row r="6">
      <c r="A6" s="38" t="n"/>
      <c r="D6" s="38" t="n"/>
      <c r="E6" s="38" t="n"/>
      <c r="I6" s="38" t="n"/>
      <c r="J6" s="38" t="n"/>
      <c r="M6" s="84">
        <f>IFERROR(((K6/L6)^(1/3)-1)*100,"")</f>
        <v/>
      </c>
      <c r="N6" s="92">
        <f>IF(ISNUMBER(D6),D6,"")</f>
        <v/>
      </c>
      <c r="O6" s="92">
        <f>IF(ISNUMBER(E6),E6,"")</f>
        <v/>
      </c>
      <c r="P6" s="92">
        <f>IF(ISNUMBER(F6),F6,"")</f>
        <v/>
      </c>
      <c r="Q6" s="92">
        <f>IF(ISNUMBER(G6),G6,"")</f>
        <v/>
      </c>
      <c r="R6" s="92">
        <f>IF(ISNUMBER(H6),H6,"")</f>
        <v/>
      </c>
      <c r="S6" s="92">
        <f>IF(ISNUMBER(I6),I6,"")</f>
        <v/>
      </c>
      <c r="T6" s="92">
        <f>IF(ISNUMBER(J6),J6,"")</f>
        <v/>
      </c>
      <c r="U6" s="92">
        <f>IF(ISNUMBER(M6),M6,"")</f>
        <v/>
      </c>
      <c r="W6" s="38" t="n"/>
      <c r="Z6">
        <f>IF(AND($W6=$A6,ISNUMBER($X6)),$X6,"")</f>
        <v/>
      </c>
      <c r="AA6" s="38">
        <f>IF(AND($W6=$A6,ISNUMBER($Y6)),$Y6,"")</f>
        <v/>
      </c>
    </row>
    <row r="7">
      <c r="A7" s="38" t="n"/>
      <c r="D7" s="38" t="n"/>
      <c r="E7" s="38" t="n"/>
      <c r="I7" s="38" t="n"/>
      <c r="J7" s="38" t="n"/>
      <c r="M7" s="84">
        <f>IFERROR(((K7/L7)^(1/3)-1)*100,"")</f>
        <v/>
      </c>
      <c r="N7" s="92">
        <f>IF(ISNUMBER(D7),D7,"")</f>
        <v/>
      </c>
      <c r="O7" s="92">
        <f>IF(ISNUMBER(E7),E7,"")</f>
        <v/>
      </c>
      <c r="P7" s="92">
        <f>IF(ISNUMBER(F7),F7,"")</f>
        <v/>
      </c>
      <c r="Q7" s="92">
        <f>IF(ISNUMBER(G7),G7,"")</f>
        <v/>
      </c>
      <c r="R7" s="92">
        <f>IF(ISNUMBER(H7),H7,"")</f>
        <v/>
      </c>
      <c r="S7" s="92">
        <f>IF(ISNUMBER(I7),I7,"")</f>
        <v/>
      </c>
      <c r="T7" s="92">
        <f>IF(ISNUMBER(J7),J7,"")</f>
        <v/>
      </c>
      <c r="U7" s="92">
        <f>IF(ISNUMBER(M7),M7,"")</f>
        <v/>
      </c>
      <c r="W7" s="38" t="n"/>
      <c r="Z7">
        <f>IF(AND($W7=$A7,ISNUMBER($X7)),$X7,"")</f>
        <v/>
      </c>
      <c r="AA7">
        <f>IF(AND($W7=$A7,ISNUMBER($Y7)),$Y7,"")</f>
        <v/>
      </c>
    </row>
    <row r="8">
      <c r="A8" s="38" t="n"/>
      <c r="D8" s="38" t="n"/>
      <c r="G8" s="38" t="n"/>
      <c r="I8" s="38" t="n"/>
      <c r="J8" s="38" t="n"/>
      <c r="M8" s="84">
        <f>IFERROR(((K8/L8)^(1/3)-1)*100,"")</f>
        <v/>
      </c>
      <c r="N8" s="92">
        <f>IF(ISNUMBER(D8),D8,"")</f>
        <v/>
      </c>
      <c r="O8" s="92">
        <f>IF(ISNUMBER(E8),E8,"")</f>
        <v/>
      </c>
      <c r="P8" s="92">
        <f>IF(ISNUMBER(F8),F8,"")</f>
        <v/>
      </c>
      <c r="Q8" s="92">
        <f>IF(ISNUMBER(G8),G8,"")</f>
        <v/>
      </c>
      <c r="R8" s="92">
        <f>IF(ISNUMBER(H8),H8,"")</f>
        <v/>
      </c>
      <c r="S8" s="92">
        <f>IF(ISNUMBER(I8),I8,"")</f>
        <v/>
      </c>
      <c r="T8" s="92">
        <f>IF(ISNUMBER(J8),J8,"")</f>
        <v/>
      </c>
      <c r="U8" s="92">
        <f>IF(ISNUMBER(M8),M8,"")</f>
        <v/>
      </c>
      <c r="W8" s="38" t="n"/>
      <c r="Z8">
        <f>IF(AND($W8=$A8,ISNUMBER($X8)),$X8,"")</f>
        <v/>
      </c>
      <c r="AA8">
        <f>IF(AND($W8=$A8,ISNUMBER($Y8)),$Y8,"")</f>
        <v/>
      </c>
    </row>
    <row r="9">
      <c r="A9" s="38" t="n"/>
      <c r="I9" s="38" t="n"/>
      <c r="J9" s="38" t="n"/>
      <c r="M9" s="84">
        <f>IFERROR(((K9/L9)^(1/3)-1)*100,"")</f>
        <v/>
      </c>
      <c r="N9" s="92">
        <f>IF(ISNUMBER(D9),D9,"")</f>
        <v/>
      </c>
      <c r="O9" s="92">
        <f>IF(ISNUMBER(E9),E9,"")</f>
        <v/>
      </c>
      <c r="P9" s="92">
        <f>IF(ISNUMBER(F9),F9,"")</f>
        <v/>
      </c>
      <c r="Q9" s="92">
        <f>IF(ISNUMBER(G9),G9,"")</f>
        <v/>
      </c>
      <c r="R9" s="92">
        <f>IF(ISNUMBER(H9),H9,"")</f>
        <v/>
      </c>
      <c r="S9" s="92">
        <f>IF(ISNUMBER(I9),I9,"")</f>
        <v/>
      </c>
      <c r="T9" s="92">
        <f>IF(ISNUMBER(J9),J9,"")</f>
        <v/>
      </c>
      <c r="U9" s="92">
        <f>IF(ISNUMBER(M9),M9,"")</f>
        <v/>
      </c>
      <c r="W9" s="38" t="n"/>
      <c r="Z9">
        <f>IF(AND($W9=$A9,ISNUMBER($X9)),$X9,"")</f>
        <v/>
      </c>
      <c r="AA9">
        <f>IF(AND($W9=$A9,ISNUMBER($Y9)),$Y9,"")</f>
        <v/>
      </c>
      <c r="AB9" s="38" t="n"/>
    </row>
    <row r="10">
      <c r="A10" s="38" t="n"/>
      <c r="D10" s="38" t="n"/>
      <c r="E10" s="38" t="n"/>
      <c r="G10" s="38" t="n"/>
      <c r="I10" s="38" t="n"/>
      <c r="J10" s="38" t="n"/>
      <c r="M10" s="84">
        <f>IFERROR(((K10/L10)^(1/3)-1)*100,"")</f>
        <v/>
      </c>
      <c r="N10" s="92">
        <f>IF(ISNUMBER(D10),D10,"")</f>
        <v/>
      </c>
      <c r="O10" s="92">
        <f>IF(ISNUMBER(E10),E10,"")</f>
        <v/>
      </c>
      <c r="P10" s="92">
        <f>IF(ISNUMBER(F10),F10,"")</f>
        <v/>
      </c>
      <c r="Q10" s="92">
        <f>IF(ISNUMBER(G10),G10,"")</f>
        <v/>
      </c>
      <c r="R10" s="92">
        <f>IF(ISNUMBER(H10),H10,"")</f>
        <v/>
      </c>
      <c r="S10" s="92">
        <f>IF(ISNUMBER(I10),I10,"")</f>
        <v/>
      </c>
      <c r="T10" s="92">
        <f>IF(ISNUMBER(J10),J10,"")</f>
        <v/>
      </c>
      <c r="U10" s="92">
        <f>IF(ISNUMBER(M10),M10,"")</f>
        <v/>
      </c>
      <c r="W10" s="38" t="n"/>
      <c r="Z10">
        <f>IF(AND($W10=$A10,ISNUMBER($X10)),$X10,"")</f>
        <v/>
      </c>
      <c r="AA10" s="38">
        <f>IF(AND($W10=$A10,ISNUMBER($Y10)),$Y10,"")</f>
        <v/>
      </c>
    </row>
    <row r="11">
      <c r="A11" s="38" t="n"/>
      <c r="D11" s="38" t="n"/>
      <c r="G11" s="38" t="n"/>
      <c r="I11" s="38" t="n"/>
      <c r="M11" s="84">
        <f>IFERROR(((K11/L11)^(1/3)-1)*100,"")</f>
        <v/>
      </c>
      <c r="N11" s="92">
        <f>IF(ISNUMBER(D11),D11,"")</f>
        <v/>
      </c>
      <c r="O11" s="92">
        <f>IF(ISNUMBER(E11),E11,"")</f>
        <v/>
      </c>
      <c r="P11" s="92">
        <f>IF(ISNUMBER(F11),F11,"")</f>
        <v/>
      </c>
      <c r="Q11" s="92">
        <f>IF(ISNUMBER(G11),G11,"")</f>
        <v/>
      </c>
      <c r="R11" s="92">
        <f>IF(ISNUMBER(H11),H11,"")</f>
        <v/>
      </c>
      <c r="S11" s="92">
        <f>IF(ISNUMBER(I11),I11,"")</f>
        <v/>
      </c>
      <c r="T11" s="92">
        <f>IF(ISNUMBER(J11),J11,"")</f>
        <v/>
      </c>
      <c r="U11" s="92">
        <f>IF(ISNUMBER(M11),M11,"")</f>
        <v/>
      </c>
      <c r="W11" s="38" t="n"/>
      <c r="Z11">
        <f>IF(AND($W11=$A11,ISNUMBER($X11)),$X11,"")</f>
        <v/>
      </c>
      <c r="AA11">
        <f>IF(AND($W11=$A11,ISNUMBER($Y11)),$Y11,"")</f>
        <v/>
      </c>
    </row>
    <row r="12">
      <c r="A12" s="73" t="n"/>
      <c r="M12" s="84">
        <f>IFERROR(((K12/L12)^(1/3)-1)*100,"")</f>
        <v/>
      </c>
      <c r="N12" s="92">
        <f>IF(ISNUMBER(D12),D12,"")</f>
        <v/>
      </c>
      <c r="O12" s="92">
        <f>IF(ISNUMBER(E12),E12,"")</f>
        <v/>
      </c>
      <c r="P12" s="92">
        <f>IF(ISNUMBER(F12),F12,"")</f>
        <v/>
      </c>
      <c r="Q12" s="92">
        <f>IF(ISNUMBER(G12),G12,"")</f>
        <v/>
      </c>
      <c r="R12" s="92">
        <f>IF(ISNUMBER(H12),H12,"")</f>
        <v/>
      </c>
      <c r="S12" s="92">
        <f>IF(ISNUMBER(I12),I12,"")</f>
        <v/>
      </c>
      <c r="T12" s="92">
        <f>IF(ISNUMBER(J12),J12,"")</f>
        <v/>
      </c>
      <c r="U12" s="92">
        <f>IF(ISNUMBER(M12),M12,"")</f>
        <v/>
      </c>
      <c r="W12" s="38" t="n"/>
      <c r="Z12">
        <f>IF(AND($W12=$A12,ISNUMBER($X12)),$X12,"")</f>
        <v/>
      </c>
      <c r="AA12">
        <f>IF(AND($W12=$A12,ISNUMBER($Y12)),$Y12,"")</f>
        <v/>
      </c>
    </row>
    <row r="13">
      <c r="A13" s="38" t="n"/>
      <c r="D13" s="38" t="n"/>
      <c r="G13" s="38" t="n"/>
      <c r="I13" s="38" t="n"/>
      <c r="J13" s="38" t="n"/>
      <c r="M13" s="84">
        <f>IFERROR(((K13/L13)^(1/3)-1)*100,"")</f>
        <v/>
      </c>
      <c r="N13" s="92">
        <f>IF(ISNUMBER(D13),D13,"")</f>
        <v/>
      </c>
      <c r="O13" s="92">
        <f>IF(ISNUMBER(E13),E13,"")</f>
        <v/>
      </c>
      <c r="P13" s="92">
        <f>IF(ISNUMBER(F13),F13,"")</f>
        <v/>
      </c>
      <c r="Q13" s="92">
        <f>IF(ISNUMBER(G13),G13,"")</f>
        <v/>
      </c>
      <c r="R13" s="92">
        <f>IF(ISNUMBER(H13),H13,"")</f>
        <v/>
      </c>
      <c r="S13" s="92">
        <f>IF(ISNUMBER(I13),I13,"")</f>
        <v/>
      </c>
      <c r="T13" s="92">
        <f>IF(ISNUMBER(J13),J13,"")</f>
        <v/>
      </c>
      <c r="U13" s="92">
        <f>IF(ISNUMBER(M13),M13,"")</f>
        <v/>
      </c>
      <c r="W13" s="38" t="n"/>
      <c r="Y13" s="38" t="n"/>
      <c r="Z13">
        <f>IF(AND($W13=$A13,ISNUMBER($X13)),$X13,"")</f>
        <v/>
      </c>
      <c r="AA13">
        <f>IF(AND($W13=$A13,ISNUMBER($Y13)),$Y13,"")</f>
        <v/>
      </c>
    </row>
    <row r="14">
      <c r="A14" s="38" t="n"/>
      <c r="D14" s="38" t="n"/>
      <c r="E14" s="38" t="n"/>
      <c r="I14" s="38" t="n"/>
      <c r="M14" s="84">
        <f>IFERROR(((K14/L14)^(1/3)-1)*100,"")</f>
        <v/>
      </c>
      <c r="N14" s="92">
        <f>IF(ISNUMBER(D14),D14,"")</f>
        <v/>
      </c>
      <c r="O14" s="92">
        <f>IF(ISNUMBER(E14),E14,"")</f>
        <v/>
      </c>
      <c r="P14" s="92">
        <f>IF(ISNUMBER(F14),F14,"")</f>
        <v/>
      </c>
      <c r="Q14" s="92">
        <f>IF(ISNUMBER(G14),G14,"")</f>
        <v/>
      </c>
      <c r="R14" s="92">
        <f>IF(ISNUMBER(H14),H14,"")</f>
        <v/>
      </c>
      <c r="S14" s="92">
        <f>IF(ISNUMBER(I14),I14,"")</f>
        <v/>
      </c>
      <c r="T14" s="92">
        <f>IF(ISNUMBER(J14),J14,"")</f>
        <v/>
      </c>
      <c r="U14" s="92">
        <f>IF(ISNUMBER(M14),M14,"")</f>
        <v/>
      </c>
      <c r="W14" s="38" t="n"/>
      <c r="Y14" s="38" t="n"/>
      <c r="Z14">
        <f>IF(AND($W14=$A14,ISNUMBER($X14)),$X14,"")</f>
        <v/>
      </c>
      <c r="AA14">
        <f>IF(AND($W14=$A14,ISNUMBER($Y14)),$Y14,"")</f>
        <v/>
      </c>
    </row>
    <row r="15">
      <c r="A15" s="38" t="n"/>
      <c r="D15" s="38" t="n"/>
      <c r="E15" s="38" t="n"/>
      <c r="F15" s="38" t="n"/>
      <c r="G15" s="38" t="n"/>
      <c r="I15" s="38" t="n"/>
      <c r="J15" s="38" t="n"/>
      <c r="M15" s="84">
        <f>IFERROR(((K15/L15)^(1/3)-1)*100,"")</f>
        <v/>
      </c>
      <c r="N15" s="92">
        <f>IF(ISNUMBER(D15),D15,"")</f>
        <v/>
      </c>
      <c r="O15" s="92">
        <f>IF(ISNUMBER(E15),E15,"")</f>
        <v/>
      </c>
      <c r="P15" s="92">
        <f>IF(ISNUMBER(F15),F15,"")</f>
        <v/>
      </c>
      <c r="Q15" s="92">
        <f>IF(ISNUMBER(G15),G15,"")</f>
        <v/>
      </c>
      <c r="R15" s="92">
        <f>IF(ISNUMBER(H15),H15,"")</f>
        <v/>
      </c>
      <c r="S15" s="92">
        <f>IF(ISNUMBER(I15),I15,"")</f>
        <v/>
      </c>
      <c r="T15" s="92">
        <f>IF(ISNUMBER(J15),J15,"")</f>
        <v/>
      </c>
      <c r="U15" s="92">
        <f>IF(ISNUMBER(M15),M15,"")</f>
        <v/>
      </c>
      <c r="W15" s="38" t="n"/>
      <c r="X15" s="38" t="n"/>
      <c r="Y15" s="38" t="n"/>
      <c r="Z15">
        <f>IF(AND($W15=$A15,ISNUMBER($X15)),$X15,"")</f>
        <v/>
      </c>
      <c r="AA15">
        <f>IF(AND($W15=$A15,ISNUMBER($Y15)),$Y15,"")</f>
        <v/>
      </c>
    </row>
    <row r="16">
      <c r="A16" s="38" t="n"/>
      <c r="D16" s="38" t="n"/>
      <c r="E16" s="38" t="n"/>
      <c r="I16" s="38" t="n"/>
      <c r="J16" s="38" t="n"/>
      <c r="K16" s="38" t="n"/>
      <c r="L16" s="38" t="n"/>
      <c r="M16" s="84">
        <f>IFERROR(((K16/L16)^(1/3)-1)*100,"")</f>
        <v/>
      </c>
      <c r="N16" s="92">
        <f>IF(ISNUMBER(D16),D16,"")</f>
        <v/>
      </c>
      <c r="O16" s="92">
        <f>IF(ISNUMBER(E16),E16,"")</f>
        <v/>
      </c>
      <c r="P16" s="92">
        <f>IF(ISNUMBER(F16),F16,"")</f>
        <v/>
      </c>
      <c r="Q16" s="92">
        <f>IF(ISNUMBER(G16),G16,"")</f>
        <v/>
      </c>
      <c r="R16" s="92">
        <f>IF(ISNUMBER(H16),H16,"")</f>
        <v/>
      </c>
      <c r="S16" s="92">
        <f>IF(ISNUMBER(I16),I16,"")</f>
        <v/>
      </c>
      <c r="T16" s="92">
        <f>IF(ISNUMBER(J16),J16,"")</f>
        <v/>
      </c>
      <c r="U16" s="92">
        <f>IF(ISNUMBER(M16),M16,"")</f>
        <v/>
      </c>
      <c r="W16" s="38" t="n"/>
      <c r="X16" s="38" t="n"/>
      <c r="Y16" s="38" t="n"/>
      <c r="Z16">
        <f>IF(AND($W16=$A16,ISNUMBER($X16)),$X16,"")</f>
        <v/>
      </c>
      <c r="AA16">
        <f>IF(AND($W16=$A16,ISNUMBER($Y16)),$Y16,"")</f>
        <v/>
      </c>
    </row>
    <row r="17">
      <c r="A17" s="38" t="n"/>
      <c r="D17" s="38" t="n"/>
      <c r="E17" s="38" t="n"/>
      <c r="F17" s="38" t="n"/>
      <c r="I17" s="38" t="n"/>
      <c r="J17" s="38" t="n"/>
      <c r="L17" s="38" t="n"/>
      <c r="M17" s="84">
        <f>IFERROR(((K17/L17)^(1/3)-1)*100,"")</f>
        <v/>
      </c>
      <c r="N17" s="92">
        <f>IF(ISNUMBER(D17),D17,"")</f>
        <v/>
      </c>
      <c r="O17" s="92">
        <f>IF(ISNUMBER(E17),E17,"")</f>
        <v/>
      </c>
      <c r="P17" s="92">
        <f>IF(ISNUMBER(F17),F17,"")</f>
        <v/>
      </c>
      <c r="Q17" s="92">
        <f>IF(ISNUMBER(G17),G17,"")</f>
        <v/>
      </c>
      <c r="R17" s="92">
        <f>IF(ISNUMBER(H17),H17,"")</f>
        <v/>
      </c>
      <c r="S17" s="92">
        <f>IF(ISNUMBER(I17),I17,"")</f>
        <v/>
      </c>
      <c r="T17" s="92">
        <f>IF(ISNUMBER(J17),J17,"")</f>
        <v/>
      </c>
      <c r="U17" s="92">
        <f>IF(ISNUMBER(M17),M17,"")</f>
        <v/>
      </c>
      <c r="W17" s="38" t="n"/>
      <c r="X17" s="38" t="n"/>
      <c r="Y17" s="38" t="n"/>
      <c r="Z17">
        <f>IF(AND($W17=$A17,ISNUMBER($X17)),$X17,"")</f>
        <v/>
      </c>
      <c r="AA17">
        <f>IF(AND($W17=$A17,ISNUMBER($Y17)),$Y17,"")</f>
        <v/>
      </c>
    </row>
    <row r="18">
      <c r="A18" s="38" t="n"/>
      <c r="D18" s="38" t="n"/>
      <c r="E18" s="38" t="n"/>
      <c r="I18" s="38" t="n"/>
      <c r="J18" s="38" t="n"/>
      <c r="K18" s="38" t="n"/>
      <c r="M18" s="84">
        <f>IFERROR(((K18/L18)^(1/3)-1)*100,"")</f>
        <v/>
      </c>
      <c r="N18" s="92">
        <f>IF(ISNUMBER(D18),D18,"")</f>
        <v/>
      </c>
      <c r="O18" s="92">
        <f>IF(ISNUMBER(E18),E18,"")</f>
        <v/>
      </c>
      <c r="P18" s="92">
        <f>IF(ISNUMBER(F18),F18,"")</f>
        <v/>
      </c>
      <c r="Q18" s="92">
        <f>IF(ISNUMBER(G18),G18,"")</f>
        <v/>
      </c>
      <c r="R18" s="92">
        <f>IF(ISNUMBER(H18),H18,"")</f>
        <v/>
      </c>
      <c r="S18" s="92">
        <f>IF(ISNUMBER(I18),I18,"")</f>
        <v/>
      </c>
      <c r="T18" s="92">
        <f>IF(ISNUMBER(J18),J18,"")</f>
        <v/>
      </c>
      <c r="U18" s="92">
        <f>IF(ISNUMBER(M18),M18,"")</f>
        <v/>
      </c>
      <c r="W18" s="38" t="n"/>
      <c r="X18" s="38" t="n"/>
      <c r="Y18" s="38" t="n"/>
      <c r="Z18">
        <f>IF(AND($W18=$A18,ISNUMBER($X18)),$X18,"")</f>
        <v/>
      </c>
      <c r="AA18">
        <f>IF(AND($W18=$A18,ISNUMBER($Y18)),$Y18,"")</f>
        <v/>
      </c>
    </row>
    <row r="19">
      <c r="A19" s="38" t="n"/>
      <c r="D19" s="38" t="n"/>
      <c r="E19" s="38" t="n"/>
      <c r="F19" s="38" t="n"/>
      <c r="G19" s="38" t="n"/>
      <c r="H19" s="38" t="n"/>
      <c r="I19" s="38" t="n"/>
      <c r="J19" s="38" t="n"/>
      <c r="M19" s="84">
        <f>IFERROR(((K19/L19)^(1/3)-1)*100,"")</f>
        <v/>
      </c>
      <c r="N19" s="92">
        <f>IF(ISNUMBER(D19),D19,"")</f>
        <v/>
      </c>
      <c r="O19" s="92">
        <f>IF(ISNUMBER(E19),E19,"")</f>
        <v/>
      </c>
      <c r="P19" s="92">
        <f>IF(ISNUMBER(F19),F19,"")</f>
        <v/>
      </c>
      <c r="Q19" s="92">
        <f>IF(ISNUMBER(G19),G19,"")</f>
        <v/>
      </c>
      <c r="R19" s="92">
        <f>IF(ISNUMBER(H19),H19,"")</f>
        <v/>
      </c>
      <c r="S19" s="92">
        <f>IF(ISNUMBER(I19),I19,"")</f>
        <v/>
      </c>
      <c r="T19" s="92">
        <f>IF(ISNUMBER(J19),J19,"")</f>
        <v/>
      </c>
      <c r="U19" s="92">
        <f>IF(ISNUMBER(M19),M19,"")</f>
        <v/>
      </c>
      <c r="W19" s="38" t="n"/>
      <c r="Y19" s="38" t="n"/>
      <c r="Z19">
        <f>IF(AND($W19=$A19,ISNUMBER($X19)),$X19,"")</f>
        <v/>
      </c>
      <c r="AA19">
        <f>IF(AND($W19=$A19,ISNUMBER($Y19)),$Y19,"")</f>
        <v/>
      </c>
    </row>
    <row r="20">
      <c r="A20" s="38" t="n"/>
      <c r="D20" s="38" t="n"/>
      <c r="E20" s="38" t="n"/>
      <c r="G20" s="38" t="n"/>
      <c r="I20" s="38" t="n"/>
      <c r="J20" s="38" t="n"/>
      <c r="M20" s="84">
        <f>IFERROR(((K20/L20)^(1/3)-1)*100,"")</f>
        <v/>
      </c>
      <c r="N20" s="92">
        <f>IF(ISNUMBER(D20),D20,"")</f>
        <v/>
      </c>
      <c r="O20" s="92">
        <f>IF(ISNUMBER(E20),E20,"")</f>
        <v/>
      </c>
      <c r="P20" s="92">
        <f>IF(ISNUMBER(F20),F20,"")</f>
        <v/>
      </c>
      <c r="Q20" s="92">
        <f>IF(ISNUMBER(G20),G20,"")</f>
        <v/>
      </c>
      <c r="R20" s="92">
        <f>IF(ISNUMBER(H20),H20,"")</f>
        <v/>
      </c>
      <c r="S20" s="92">
        <f>IF(ISNUMBER(I20),I20,"")</f>
        <v/>
      </c>
      <c r="T20" s="92">
        <f>IF(ISNUMBER(J20),J20,"")</f>
        <v/>
      </c>
      <c r="U20" s="92">
        <f>IF(ISNUMBER(M20),M20,"")</f>
        <v/>
      </c>
      <c r="W20" s="38" t="n"/>
      <c r="Y20" s="38" t="n"/>
      <c r="Z20">
        <f>IF(AND($W20=$A20,ISNUMBER($X20)),$X20,"")</f>
        <v/>
      </c>
      <c r="AA20">
        <f>IF(AND($W20=$A20,ISNUMBER($Y20)),$Y20,"")</f>
        <v/>
      </c>
    </row>
    <row r="21">
      <c r="A21" s="38" t="n"/>
      <c r="D21" s="38" t="n"/>
      <c r="E21" s="38" t="n"/>
      <c r="G21" s="38" t="n"/>
      <c r="I21" s="38" t="n"/>
      <c r="J21" s="38" t="n"/>
      <c r="M21" s="84">
        <f>IFERROR(((K21/L21)^(1/3)-1)*100,"")</f>
        <v/>
      </c>
      <c r="N21" s="92">
        <f>IF(ISNUMBER(D21),D21,"")</f>
        <v/>
      </c>
      <c r="O21" s="92">
        <f>IF(ISNUMBER(E21),E21,"")</f>
        <v/>
      </c>
      <c r="P21" s="92">
        <f>IF(ISNUMBER(F21),F21,"")</f>
        <v/>
      </c>
      <c r="Q21" s="92">
        <f>IF(ISNUMBER(G21),G21,"")</f>
        <v/>
      </c>
      <c r="R21" s="92">
        <f>IF(ISNUMBER(H21),H21,"")</f>
        <v/>
      </c>
      <c r="S21" s="92">
        <f>IF(ISNUMBER(I21),I21,"")</f>
        <v/>
      </c>
      <c r="T21" s="92">
        <f>IF(ISNUMBER(J21),J21,"")</f>
        <v/>
      </c>
      <c r="U21" s="92">
        <f>IF(ISNUMBER(M21),M21,"")</f>
        <v/>
      </c>
      <c r="W21" s="38" t="n"/>
      <c r="Y21" s="38" t="n"/>
      <c r="Z21">
        <f>IF(AND($W21=$A21,ISNUMBER($X21)),$X21,"")</f>
        <v/>
      </c>
      <c r="AA21">
        <f>IF(AND($W21=$A21,ISNUMBER($Y21)),$Y21,"")</f>
        <v/>
      </c>
    </row>
    <row r="22">
      <c r="A22" s="38" t="n"/>
      <c r="D22" s="38" t="n"/>
      <c r="E22" s="38" t="n"/>
      <c r="I22" s="38" t="n"/>
      <c r="J22" s="38" t="n"/>
      <c r="M22" s="84">
        <f>IFERROR(((K22/L22)^(1/3)-1)*100,"")</f>
        <v/>
      </c>
      <c r="N22" s="92">
        <f>IF(ISNUMBER(D22),D22,"")</f>
        <v/>
      </c>
      <c r="O22" s="92">
        <f>IF(ISNUMBER(E22),E22,"")</f>
        <v/>
      </c>
      <c r="P22" s="92">
        <f>IF(ISNUMBER(F22),F22,"")</f>
        <v/>
      </c>
      <c r="Q22" s="92">
        <f>IF(ISNUMBER(G22),G22,"")</f>
        <v/>
      </c>
      <c r="R22" s="92">
        <f>IF(ISNUMBER(H22),H22,"")</f>
        <v/>
      </c>
      <c r="S22" s="92">
        <f>IF(ISNUMBER(I22),I22,"")</f>
        <v/>
      </c>
      <c r="T22" s="92">
        <f>IF(ISNUMBER(J22),J22,"")</f>
        <v/>
      </c>
      <c r="U22" s="92">
        <f>IF(ISNUMBER(M22),M22,"")</f>
        <v/>
      </c>
      <c r="W22" s="38" t="n"/>
      <c r="Y22" s="38" t="n"/>
      <c r="Z22">
        <f>IF(AND($W22=$A22,ISNUMBER($X22)),$X22,"")</f>
        <v/>
      </c>
      <c r="AA22">
        <f>IF(AND($W22=$A22,ISNUMBER($Y22)),$Y22,"")</f>
        <v/>
      </c>
    </row>
    <row r="23">
      <c r="A23" s="38" t="n"/>
      <c r="D23" s="38" t="n"/>
      <c r="E23" s="38" t="n"/>
      <c r="I23" s="38" t="n"/>
      <c r="J23" s="38" t="n"/>
      <c r="M23" s="84">
        <f>IFERROR(((K23/L23)^(1/3)-1)*100,"")</f>
        <v/>
      </c>
      <c r="N23" s="92">
        <f>IF(ISNUMBER(D23),D23,"")</f>
        <v/>
      </c>
      <c r="O23" s="92">
        <f>IF(ISNUMBER(E23),E23,"")</f>
        <v/>
      </c>
      <c r="P23" s="92">
        <f>IF(ISNUMBER(F23),F23,"")</f>
        <v/>
      </c>
      <c r="Q23" s="92">
        <f>IF(ISNUMBER(G23),G23,"")</f>
        <v/>
      </c>
      <c r="R23" s="92">
        <f>IF(ISNUMBER(H23),H23,"")</f>
        <v/>
      </c>
      <c r="S23" s="92">
        <f>IF(ISNUMBER(I23),I23,"")</f>
        <v/>
      </c>
      <c r="T23" s="92">
        <f>IF(ISNUMBER(J23),J23,"")</f>
        <v/>
      </c>
      <c r="U23" s="92">
        <f>IF(ISNUMBER(M23),M23,"")</f>
        <v/>
      </c>
      <c r="W23" s="38" t="n"/>
      <c r="Y23" s="38" t="n"/>
      <c r="Z23">
        <f>IF(AND($W23=$A23,ISNUMBER($X23)),$X23,"")</f>
        <v/>
      </c>
      <c r="AA23">
        <f>IF(AND($W23=$A23,ISNUMBER($Y23)),$Y23,"")</f>
        <v/>
      </c>
    </row>
    <row r="24">
      <c r="A24" s="38" t="n"/>
      <c r="D24" s="38" t="n"/>
      <c r="E24" s="38" t="n"/>
      <c r="G24" s="38" t="n"/>
      <c r="I24" s="38" t="n"/>
      <c r="J24" s="38" t="n"/>
      <c r="M24" s="84">
        <f>IFERROR(((K24/L24)^(1/3)-1)*100,"")</f>
        <v/>
      </c>
      <c r="N24" s="92">
        <f>IF(ISNUMBER(D24),D24,"")</f>
        <v/>
      </c>
      <c r="O24" s="92">
        <f>IF(ISNUMBER(E24),E24,"")</f>
        <v/>
      </c>
      <c r="P24" s="92">
        <f>IF(ISNUMBER(F24),F24,"")</f>
        <v/>
      </c>
      <c r="Q24" s="92">
        <f>IF(ISNUMBER(G24),G24,"")</f>
        <v/>
      </c>
      <c r="R24" s="92">
        <f>IF(ISNUMBER(H24),H24,"")</f>
        <v/>
      </c>
      <c r="S24" s="92">
        <f>IF(ISNUMBER(I24),I24,"")</f>
        <v/>
      </c>
      <c r="T24" s="92">
        <f>IF(ISNUMBER(J24),J24,"")</f>
        <v/>
      </c>
      <c r="U24" s="92">
        <f>IF(ISNUMBER(M24),M24,"")</f>
        <v/>
      </c>
      <c r="W24" s="38" t="n"/>
      <c r="X24" s="38" t="n"/>
      <c r="Y24" s="38" t="n"/>
      <c r="Z24">
        <f>IF(AND($W24=$A24,ISNUMBER($X24)),$X24,"")</f>
        <v/>
      </c>
      <c r="AA24">
        <f>IF(AND($W24=$A24,ISNUMBER($Y24)),$Y24,"")</f>
        <v/>
      </c>
    </row>
    <row r="25">
      <c r="A25" s="38" t="n"/>
      <c r="D25" s="38" t="n"/>
      <c r="E25" s="38" t="n"/>
      <c r="I25" s="38" t="n"/>
      <c r="J25" s="38" t="n"/>
      <c r="M25" s="84">
        <f>IFERROR(((K25/L25)^(1/3)-1)*100,"")</f>
        <v/>
      </c>
      <c r="N25" s="92">
        <f>IF(ISNUMBER(D25),D25,"")</f>
        <v/>
      </c>
      <c r="O25" s="92">
        <f>IF(ISNUMBER(E25),E25,"")</f>
        <v/>
      </c>
      <c r="P25" s="92">
        <f>IF(ISNUMBER(F25),F25,"")</f>
        <v/>
      </c>
      <c r="Q25" s="92">
        <f>IF(ISNUMBER(G25),G25,"")</f>
        <v/>
      </c>
      <c r="R25" s="92">
        <f>IF(ISNUMBER(H25),H25,"")</f>
        <v/>
      </c>
      <c r="S25" s="92">
        <f>IF(ISNUMBER(I25),I25,"")</f>
        <v/>
      </c>
      <c r="T25" s="92">
        <f>IF(ISNUMBER(J25),J25,"")</f>
        <v/>
      </c>
      <c r="U25" s="92">
        <f>IF(ISNUMBER(M25),M25,"")</f>
        <v/>
      </c>
      <c r="W25" s="38" t="n"/>
      <c r="Y25" s="38" t="n"/>
      <c r="Z25">
        <f>IF(AND($W25=$A25,ISNUMBER($X25)),$X25,"")</f>
        <v/>
      </c>
      <c r="AA25">
        <f>IF(AND($W25=$A25,ISNUMBER($Y25)),$Y25,"")</f>
        <v/>
      </c>
    </row>
    <row r="26">
      <c r="A26" s="38" t="n"/>
      <c r="D26" s="38" t="n"/>
      <c r="E26" s="38" t="n"/>
      <c r="G26" s="38" t="n"/>
      <c r="I26" s="38" t="n"/>
      <c r="J26" s="38" t="n"/>
      <c r="K26" s="38" t="n"/>
      <c r="L26" s="38" t="n"/>
      <c r="M26" s="84">
        <f>IFERROR(((K26/L26)^(1/3)-1)*100,"")</f>
        <v/>
      </c>
      <c r="N26" s="92">
        <f>IF(ISNUMBER(D26),D26,"")</f>
        <v/>
      </c>
      <c r="O26" s="92">
        <f>IF(ISNUMBER(E26),E26,"")</f>
        <v/>
      </c>
      <c r="P26" s="92">
        <f>IF(ISNUMBER(F26),F26,"")</f>
        <v/>
      </c>
      <c r="Q26" s="92">
        <f>IF(ISNUMBER(G26),G26,"")</f>
        <v/>
      </c>
      <c r="R26" s="92">
        <f>IF(ISNUMBER(H26),H26,"")</f>
        <v/>
      </c>
      <c r="S26" s="92">
        <f>IF(ISNUMBER(I26),I26,"")</f>
        <v/>
      </c>
      <c r="T26" s="92">
        <f>IF(ISNUMBER(J26),J26,"")</f>
        <v/>
      </c>
      <c r="U26" s="92">
        <f>IF(ISNUMBER(M26),M26,"")</f>
        <v/>
      </c>
      <c r="W26" s="38" t="n"/>
      <c r="Y26" s="38" t="n"/>
      <c r="Z26">
        <f>IF(AND($W26=$A26,ISNUMBER($X26)),$X26,"")</f>
        <v/>
      </c>
      <c r="AA26">
        <f>IF(AND($W26=$A26,ISNUMBER($Y26)),$Y26,"")</f>
        <v/>
      </c>
    </row>
    <row r="27">
      <c r="A27" s="38" t="n"/>
      <c r="D27" s="38" t="n"/>
      <c r="I27" s="38" t="n"/>
      <c r="J27" s="38" t="n"/>
      <c r="K27" s="38" t="n"/>
      <c r="M27" s="84">
        <f>IFERROR(((K27/L27)^(1/3)-1)*100,"")</f>
        <v/>
      </c>
      <c r="N27" s="92">
        <f>IF(ISNUMBER(D27),D27,"")</f>
        <v/>
      </c>
      <c r="O27" s="92">
        <f>IF(ISNUMBER(E27),E27,"")</f>
        <v/>
      </c>
      <c r="P27" s="92">
        <f>IF(ISNUMBER(F27),F27,"")</f>
        <v/>
      </c>
      <c r="Q27" s="92">
        <f>IF(ISNUMBER(G27),G27,"")</f>
        <v/>
      </c>
      <c r="R27" s="92">
        <f>IF(ISNUMBER(H27),H27,"")</f>
        <v/>
      </c>
      <c r="S27" s="92">
        <f>IF(ISNUMBER(I27),I27,"")</f>
        <v/>
      </c>
      <c r="T27" s="92">
        <f>IF(ISNUMBER(J27),J27,"")</f>
        <v/>
      </c>
      <c r="U27" s="92">
        <f>IF(ISNUMBER(M27),M27,"")</f>
        <v/>
      </c>
      <c r="W27" s="38" t="n"/>
      <c r="Y27" s="38" t="n"/>
      <c r="Z27">
        <f>IF(AND($W27=$A27,ISNUMBER($X27)),$X27,"")</f>
        <v/>
      </c>
      <c r="AA27">
        <f>IF(AND($W27=$A27,ISNUMBER($Y27)),$Y27,"")</f>
        <v/>
      </c>
    </row>
    <row r="28">
      <c r="A28" s="38" t="n"/>
      <c r="D28" s="38" t="n"/>
      <c r="E28" s="38" t="n"/>
      <c r="G28" s="38" t="n"/>
      <c r="I28" s="38" t="n"/>
      <c r="J28" s="38" t="n"/>
      <c r="L28" s="38" t="n"/>
      <c r="M28" s="84">
        <f>IFERROR(((K28/L28)^(1/3)-1)*100,"")</f>
        <v/>
      </c>
      <c r="N28" s="92">
        <f>IF(ISNUMBER(D28),D28,"")</f>
        <v/>
      </c>
      <c r="O28" s="92">
        <f>IF(ISNUMBER(E28),E28,"")</f>
        <v/>
      </c>
      <c r="P28" s="92">
        <f>IF(ISNUMBER(F28),F28,"")</f>
        <v/>
      </c>
      <c r="Q28" s="92">
        <f>IF(ISNUMBER(G28),G28,"")</f>
        <v/>
      </c>
      <c r="R28" s="92">
        <f>IF(ISNUMBER(H28),H28,"")</f>
        <v/>
      </c>
      <c r="S28" s="92">
        <f>IF(ISNUMBER(I28),I28,"")</f>
        <v/>
      </c>
      <c r="T28" s="92">
        <f>IF(ISNUMBER(J28),J28,"")</f>
        <v/>
      </c>
      <c r="U28" s="92">
        <f>IF(ISNUMBER(M28),M28,"")</f>
        <v/>
      </c>
      <c r="W28" s="38" t="n"/>
      <c r="X28" s="38" t="n"/>
      <c r="Y28" s="38" t="n"/>
      <c r="Z28">
        <f>IF(AND($W28=$A28,ISNUMBER($X28)),$X28,"")</f>
        <v/>
      </c>
      <c r="AA28">
        <f>IF(AND($W28=$A28,ISNUMBER($Y28)),$Y28,"")</f>
        <v/>
      </c>
    </row>
    <row r="29">
      <c r="A29" s="38" t="n"/>
      <c r="I29" s="38" t="n"/>
      <c r="J29" s="38" t="n"/>
      <c r="M29" s="84">
        <f>IFERROR(((K29/L29)^(1/3)-1)*100,"")</f>
        <v/>
      </c>
      <c r="N29" s="92">
        <f>IF(ISNUMBER(D29),D29,"")</f>
        <v/>
      </c>
      <c r="O29" s="92">
        <f>IF(ISNUMBER(E29),E29,"")</f>
        <v/>
      </c>
      <c r="P29" s="92">
        <f>IF(ISNUMBER(F29),F29,"")</f>
        <v/>
      </c>
      <c r="Q29" s="92">
        <f>IF(ISNUMBER(G29),G29,"")</f>
        <v/>
      </c>
      <c r="R29" s="92">
        <f>IF(ISNUMBER(H29),H29,"")</f>
        <v/>
      </c>
      <c r="S29" s="92">
        <f>IF(ISNUMBER(I29),I29,"")</f>
        <v/>
      </c>
      <c r="T29" s="92">
        <f>IF(ISNUMBER(J29),J29,"")</f>
        <v/>
      </c>
      <c r="U29" s="92">
        <f>IF(ISNUMBER(M29),M29,"")</f>
        <v/>
      </c>
      <c r="W29" s="38" t="n"/>
      <c r="Y29" s="38" t="n"/>
      <c r="Z29">
        <f>IF(AND($W29=$A29,ISNUMBER($X29)),$X29,"")</f>
        <v/>
      </c>
      <c r="AA29">
        <f>IF(AND($W29=$A29,ISNUMBER($Y29)),$Y29,"")</f>
        <v/>
      </c>
    </row>
    <row r="30">
      <c r="A30" s="38" t="n"/>
      <c r="D30" s="38" t="n"/>
      <c r="I30" s="38" t="n"/>
      <c r="J30" s="38" t="n"/>
      <c r="M30" s="84">
        <f>IFERROR(((K30/L30)^(1/3)-1)*100,"")</f>
        <v/>
      </c>
      <c r="N30" s="92">
        <f>IF(ISNUMBER(D30),D30,"")</f>
        <v/>
      </c>
      <c r="O30" s="92">
        <f>IF(ISNUMBER(E30),E30,"")</f>
        <v/>
      </c>
      <c r="P30" s="92">
        <f>IF(ISNUMBER(F30),F30,"")</f>
        <v/>
      </c>
      <c r="Q30" s="92">
        <f>IF(ISNUMBER(G30),G30,"")</f>
        <v/>
      </c>
      <c r="R30" s="92">
        <f>IF(ISNUMBER(H30),H30,"")</f>
        <v/>
      </c>
      <c r="S30" s="92">
        <f>IF(ISNUMBER(I30),I30,"")</f>
        <v/>
      </c>
      <c r="T30" s="92">
        <f>IF(ISNUMBER(J30),J30,"")</f>
        <v/>
      </c>
      <c r="U30" s="92">
        <f>IF(ISNUMBER(M30),M30,"")</f>
        <v/>
      </c>
      <c r="W30" s="38" t="n"/>
      <c r="Z30">
        <f>IF(AND($W30=$A30,ISNUMBER($X30)),$X30,"")</f>
        <v/>
      </c>
      <c r="AA30">
        <f>IF(AND($W30=$A30,ISNUMBER($Y30)),$Y30,"")</f>
        <v/>
      </c>
    </row>
    <row r="31">
      <c r="A31" s="38" t="n"/>
      <c r="D31" s="38" t="n"/>
      <c r="E31" s="38" t="n"/>
      <c r="F31" s="38" t="n"/>
      <c r="I31" s="38" t="n"/>
      <c r="J31" s="38" t="n"/>
      <c r="K31" s="38" t="n"/>
      <c r="M31" s="84">
        <f>IFERROR(((K31/L31)^(1/3)-1)*100,"")</f>
        <v/>
      </c>
      <c r="N31" s="92">
        <f>IF(ISNUMBER(D31),D31,"")</f>
        <v/>
      </c>
      <c r="O31" s="92">
        <f>IF(ISNUMBER(E31),E31,"")</f>
        <v/>
      </c>
      <c r="P31" s="92">
        <f>IF(ISNUMBER(F31),F31,"")</f>
        <v/>
      </c>
      <c r="Q31" s="92">
        <f>IF(ISNUMBER(G31),G31,"")</f>
        <v/>
      </c>
      <c r="R31" s="92">
        <f>IF(ISNUMBER(H31),H31,"")</f>
        <v/>
      </c>
      <c r="S31" s="92">
        <f>IF(ISNUMBER(I31),I31,"")</f>
        <v/>
      </c>
      <c r="T31" s="92">
        <f>IF(ISNUMBER(J31),J31,"")</f>
        <v/>
      </c>
      <c r="U31" s="92">
        <f>IF(ISNUMBER(M31),M31,"")</f>
        <v/>
      </c>
      <c r="W31" s="38" t="n"/>
      <c r="X31" s="38" t="n"/>
      <c r="Y31" s="38" t="n"/>
      <c r="Z31">
        <f>IF(AND($W31=$A31,ISNUMBER($X31)),$X31,"")</f>
        <v/>
      </c>
      <c r="AA31">
        <f>IF(AND($W31=$A31,ISNUMBER($Y31)),$Y31,"")</f>
        <v/>
      </c>
    </row>
    <row r="32">
      <c r="A32" s="38" t="n"/>
      <c r="D32" s="38" t="n"/>
      <c r="E32" s="38" t="n"/>
      <c r="I32" s="38" t="n"/>
      <c r="M32" s="84">
        <f>IFERROR(((K32/L32)^(1/3)-1)*100,"")</f>
        <v/>
      </c>
      <c r="N32" s="92">
        <f>IF(ISNUMBER(D32),D32,"")</f>
        <v/>
      </c>
      <c r="O32" s="92">
        <f>IF(ISNUMBER(E32),E32,"")</f>
        <v/>
      </c>
      <c r="P32" s="92">
        <f>IF(ISNUMBER(F32),F32,"")</f>
        <v/>
      </c>
      <c r="Q32" s="92">
        <f>IF(ISNUMBER(G32),G32,"")</f>
        <v/>
      </c>
      <c r="R32" s="92">
        <f>IF(ISNUMBER(H32),H32,"")</f>
        <v/>
      </c>
      <c r="S32" s="92">
        <f>IF(ISNUMBER(I32),I32,"")</f>
        <v/>
      </c>
      <c r="T32" s="92">
        <f>IF(ISNUMBER(J32),J32,"")</f>
        <v/>
      </c>
      <c r="U32" s="92">
        <f>IF(ISNUMBER(M32),M32,"")</f>
        <v/>
      </c>
      <c r="W32" s="38" t="n"/>
      <c r="Z32">
        <f>IF(AND($W32=$A32,ISNUMBER($X32)),$X32,"")</f>
        <v/>
      </c>
      <c r="AA32">
        <f>IF(AND($W32=$A32,ISNUMBER($Y32)),$Y32,"")</f>
        <v/>
      </c>
    </row>
    <row r="33">
      <c r="A33" s="38" t="n"/>
      <c r="D33" s="38" t="n"/>
      <c r="E33" s="38" t="n"/>
      <c r="I33" s="38" t="n"/>
      <c r="M33" s="84">
        <f>IFERROR(((K33/L33)^(1/3)-1)*100,"")</f>
        <v/>
      </c>
      <c r="N33" s="92">
        <f>IF(ISNUMBER(D33),D33,"")</f>
        <v/>
      </c>
      <c r="O33" s="92">
        <f>IF(ISNUMBER(E33),E33,"")</f>
        <v/>
      </c>
      <c r="P33" s="92">
        <f>IF(ISNUMBER(F33),F33,"")</f>
        <v/>
      </c>
      <c r="Q33" s="92">
        <f>IF(ISNUMBER(G33),G33,"")</f>
        <v/>
      </c>
      <c r="R33" s="92">
        <f>IF(ISNUMBER(H33),H33,"")</f>
        <v/>
      </c>
      <c r="S33" s="92">
        <f>IF(ISNUMBER(I33),I33,"")</f>
        <v/>
      </c>
      <c r="T33" s="92">
        <f>IF(ISNUMBER(J33),J33,"")</f>
        <v/>
      </c>
      <c r="U33" s="92">
        <f>IF(ISNUMBER(M33),M33,"")</f>
        <v/>
      </c>
      <c r="W33" s="38" t="n"/>
      <c r="X33" s="38" t="n"/>
      <c r="Y33" s="38" t="n"/>
      <c r="Z33">
        <f>IF(AND($W33=$A33,ISNUMBER($X33)),$X33,"")</f>
        <v/>
      </c>
      <c r="AA33">
        <f>IF(AND($W33=$A33,ISNUMBER($Y33)),$Y33,"")</f>
        <v/>
      </c>
    </row>
    <row r="34">
      <c r="A34" s="38" t="n"/>
      <c r="D34" s="38" t="n"/>
      <c r="E34" s="38" t="n"/>
      <c r="G34" s="38" t="n"/>
      <c r="I34" s="38" t="n"/>
      <c r="J34" s="38" t="n"/>
      <c r="M34" s="84">
        <f>IFERROR(((K34/L34)^(1/3)-1)*100,"")</f>
        <v/>
      </c>
      <c r="N34" s="92">
        <f>IF(ISNUMBER(D34),D34,"")</f>
        <v/>
      </c>
      <c r="O34" s="92">
        <f>IF(ISNUMBER(E34),E34,"")</f>
        <v/>
      </c>
      <c r="P34" s="92">
        <f>IF(ISNUMBER(F34),F34,"")</f>
        <v/>
      </c>
      <c r="Q34" s="92">
        <f>IF(ISNUMBER(G34),G34,"")</f>
        <v/>
      </c>
      <c r="R34" s="92">
        <f>IF(ISNUMBER(H34),H34,"")</f>
        <v/>
      </c>
      <c r="S34" s="92">
        <f>IF(ISNUMBER(I34),I34,"")</f>
        <v/>
      </c>
      <c r="T34" s="92">
        <f>IF(ISNUMBER(J34),J34,"")</f>
        <v/>
      </c>
      <c r="U34" s="92">
        <f>IF(ISNUMBER(M34),M34,"")</f>
        <v/>
      </c>
      <c r="W34" s="38" t="n"/>
      <c r="Z34">
        <f>IF(AND($W34=$A34,ISNUMBER($X34)),$X34,"")</f>
        <v/>
      </c>
      <c r="AA34">
        <f>IF(AND($W34=$A34,ISNUMBER($Y34)),$Y34,"")</f>
        <v/>
      </c>
    </row>
    <row r="35">
      <c r="A35" s="38" t="n"/>
      <c r="D35" s="38" t="n"/>
      <c r="E35" s="38" t="n"/>
      <c r="I35" s="38" t="n"/>
      <c r="J35" s="38" t="n"/>
      <c r="M35" s="84">
        <f>IFERROR(((K35/L35)^(1/3)-1)*100,"")</f>
        <v/>
      </c>
      <c r="N35" s="92">
        <f>IF(ISNUMBER(D35),D35,"")</f>
        <v/>
      </c>
      <c r="O35" s="92">
        <f>IF(ISNUMBER(E35),E35,"")</f>
        <v/>
      </c>
      <c r="P35" s="92">
        <f>IF(ISNUMBER(F35),F35,"")</f>
        <v/>
      </c>
      <c r="Q35" s="92">
        <f>IF(ISNUMBER(G35),G35,"")</f>
        <v/>
      </c>
      <c r="R35" s="92">
        <f>IF(ISNUMBER(H35),H35,"")</f>
        <v/>
      </c>
      <c r="S35" s="92">
        <f>IF(ISNUMBER(I35),I35,"")</f>
        <v/>
      </c>
      <c r="T35" s="92">
        <f>IF(ISNUMBER(J35),J35,"")</f>
        <v/>
      </c>
      <c r="U35" s="92">
        <f>IF(ISNUMBER(M35),M35,"")</f>
        <v/>
      </c>
      <c r="W35" s="38" t="n"/>
      <c r="Y35" s="38" t="n"/>
      <c r="Z35">
        <f>IF(AND($W35=$A35,ISNUMBER($X35)),$X35,"")</f>
        <v/>
      </c>
      <c r="AA35">
        <f>IF(AND($W35=$A35,ISNUMBER($Y35)),$Y35,"")</f>
        <v/>
      </c>
    </row>
    <row r="36">
      <c r="A36" s="38" t="n"/>
      <c r="D36" s="38" t="n"/>
      <c r="E36" s="38" t="n"/>
      <c r="J36" s="38" t="n"/>
      <c r="L36" s="38" t="n"/>
      <c r="M36" s="84">
        <f>IFERROR(((K36/L36)^(1/3)-1)*100,"")</f>
        <v/>
      </c>
      <c r="N36" s="92">
        <f>IF(ISNUMBER(D36),D36,"")</f>
        <v/>
      </c>
      <c r="O36" s="92">
        <f>IF(ISNUMBER(E36),E36,"")</f>
        <v/>
      </c>
      <c r="P36" s="92">
        <f>IF(ISNUMBER(F36),F36,"")</f>
        <v/>
      </c>
      <c r="Q36" s="92">
        <f>IF(ISNUMBER(G36),G36,"")</f>
        <v/>
      </c>
      <c r="R36" s="92">
        <f>IF(ISNUMBER(H36),H36,"")</f>
        <v/>
      </c>
      <c r="S36" s="92">
        <f>IF(ISNUMBER(I36),I36,"")</f>
        <v/>
      </c>
      <c r="T36" s="92">
        <f>IF(ISNUMBER(J36),J36,"")</f>
        <v/>
      </c>
      <c r="U36" s="92">
        <f>IF(ISNUMBER(M36),M36,"")</f>
        <v/>
      </c>
      <c r="W36" s="38" t="n"/>
      <c r="Z36">
        <f>IF(AND($W36=$A36,ISNUMBER($X36)),$X36,"")</f>
        <v/>
      </c>
      <c r="AA36">
        <f>IF(AND($W36=$A36,ISNUMBER($Y36)),$Y36,"")</f>
        <v/>
      </c>
    </row>
    <row r="37">
      <c r="A37" s="38" t="n"/>
      <c r="D37" s="38" t="n"/>
      <c r="E37" s="38" t="n"/>
      <c r="G37" s="38" t="n"/>
      <c r="I37" s="38" t="n"/>
      <c r="J37" s="38" t="n"/>
      <c r="K37" s="38" t="n"/>
      <c r="L37" s="38" t="n"/>
      <c r="M37" s="84">
        <f>IFERROR(((K37/L37)^(1/3)-1)*100,"")</f>
        <v/>
      </c>
      <c r="N37" s="92">
        <f>IF(ISNUMBER(D37),D37,"")</f>
        <v/>
      </c>
      <c r="O37" s="92">
        <f>IF(ISNUMBER(E37),E37,"")</f>
        <v/>
      </c>
      <c r="P37" s="92">
        <f>IF(ISNUMBER(F37),F37,"")</f>
        <v/>
      </c>
      <c r="Q37" s="92">
        <f>IF(ISNUMBER(G37),G37,"")</f>
        <v/>
      </c>
      <c r="R37" s="92">
        <f>IF(ISNUMBER(H37),H37,"")</f>
        <v/>
      </c>
      <c r="S37" s="92">
        <f>IF(ISNUMBER(I37),I37,"")</f>
        <v/>
      </c>
      <c r="T37" s="92">
        <f>IF(ISNUMBER(J37),J37,"")</f>
        <v/>
      </c>
      <c r="U37" s="92">
        <f>IF(ISNUMBER(M37),M37,"")</f>
        <v/>
      </c>
      <c r="W37" s="38" t="n"/>
      <c r="X37" s="38" t="n"/>
      <c r="Y37" s="38" t="n"/>
      <c r="Z37">
        <f>IF(AND($W37=$A37,ISNUMBER($X37)),$X37,"")</f>
        <v/>
      </c>
      <c r="AA37">
        <f>IF(AND($W37=$A37,ISNUMBER($Y37)),$Y37,"")</f>
        <v/>
      </c>
    </row>
    <row r="38">
      <c r="A38" s="38" t="n"/>
      <c r="D38" s="38" t="n"/>
      <c r="E38" s="38" t="n"/>
      <c r="F38" s="38" t="n"/>
      <c r="G38" s="38" t="n"/>
      <c r="H38" s="38" t="n"/>
      <c r="I38" s="38" t="n"/>
      <c r="J38" s="38" t="n"/>
      <c r="K38" s="38" t="n"/>
      <c r="L38" s="38" t="n"/>
      <c r="M38" s="84">
        <f>IFERROR(((K38/L38)^(1/3)-1)*100,"")</f>
        <v/>
      </c>
      <c r="N38" s="92">
        <f>IF(ISNUMBER(D38),D38,"")</f>
        <v/>
      </c>
      <c r="O38" s="92">
        <f>IF(ISNUMBER(E38),E38,"")</f>
        <v/>
      </c>
      <c r="P38" s="92">
        <f>IF(ISNUMBER(F38),F38,"")</f>
        <v/>
      </c>
      <c r="Q38" s="92">
        <f>IF(ISNUMBER(G38),G38,"")</f>
        <v/>
      </c>
      <c r="R38" s="92">
        <f>IF(ISNUMBER(H38),H38,"")</f>
        <v/>
      </c>
      <c r="S38" s="92">
        <f>IF(ISNUMBER(I38),I38,"")</f>
        <v/>
      </c>
      <c r="T38" s="92">
        <f>IF(ISNUMBER(J38),J38,"")</f>
        <v/>
      </c>
      <c r="U38" s="92">
        <f>IF(ISNUMBER(M38),M38,"")</f>
        <v/>
      </c>
      <c r="W38" s="38" t="n"/>
      <c r="Y38" s="38" t="n"/>
      <c r="Z38">
        <f>IF(AND($W38=$A38,ISNUMBER($X38)),$X38,"")</f>
        <v/>
      </c>
      <c r="AA38">
        <f>IF(AND($W38=$A38,ISNUMBER($Y38)),$Y38,"")</f>
        <v/>
      </c>
    </row>
    <row r="39">
      <c r="A39" s="38" t="n"/>
      <c r="D39" s="38" t="n"/>
      <c r="E39" s="38" t="n"/>
      <c r="G39" s="38" t="n"/>
      <c r="I39" s="38" t="n"/>
      <c r="M39" s="84">
        <f>IFERROR(((K39/L39)^(1/3)-1)*100,"")</f>
        <v/>
      </c>
      <c r="N39" s="92">
        <f>IF(ISNUMBER(D39),D39,"")</f>
        <v/>
      </c>
      <c r="O39" s="92">
        <f>IF(ISNUMBER(E39),E39,"")</f>
        <v/>
      </c>
      <c r="P39" s="92">
        <f>IF(ISNUMBER(F39),F39,"")</f>
        <v/>
      </c>
      <c r="Q39" s="92">
        <f>IF(ISNUMBER(G39),G39,"")</f>
        <v/>
      </c>
      <c r="R39" s="92">
        <f>IF(ISNUMBER(H39),H39,"")</f>
        <v/>
      </c>
      <c r="S39" s="92">
        <f>IF(ISNUMBER(I39),I39,"")</f>
        <v/>
      </c>
      <c r="T39" s="92">
        <f>IF(ISNUMBER(J39),J39,"")</f>
        <v/>
      </c>
      <c r="U39" s="92">
        <f>IF(ISNUMBER(M39),M39,"")</f>
        <v/>
      </c>
      <c r="W39" s="38" t="n"/>
      <c r="Y39" s="38" t="n"/>
      <c r="Z39">
        <f>IF(AND($W39=$A39,ISNUMBER($X39)),$X39,"")</f>
        <v/>
      </c>
      <c r="AA39">
        <f>IF(AND($W39=$A39,ISNUMBER($Y39)),$Y39,"")</f>
        <v/>
      </c>
    </row>
    <row r="40">
      <c r="A40" s="38" t="n"/>
      <c r="D40" s="38" t="n"/>
      <c r="E40" s="38" t="n"/>
      <c r="G40" s="38" t="n"/>
      <c r="I40" s="38" t="n"/>
      <c r="M40" s="84">
        <f>IFERROR(((K40/L40)^(1/3)-1)*100,"")</f>
        <v/>
      </c>
      <c r="N40" s="92">
        <f>IF(ISNUMBER(D40),D40,"")</f>
        <v/>
      </c>
      <c r="O40" s="92">
        <f>IF(ISNUMBER(E40),E40,"")</f>
        <v/>
      </c>
      <c r="P40" s="92">
        <f>IF(ISNUMBER(F40),F40,"")</f>
        <v/>
      </c>
      <c r="Q40" s="92">
        <f>IF(ISNUMBER(G40),G40,"")</f>
        <v/>
      </c>
      <c r="R40" s="92">
        <f>IF(ISNUMBER(H40),H40,"")</f>
        <v/>
      </c>
      <c r="S40" s="92">
        <f>IF(ISNUMBER(I40),I40,"")</f>
        <v/>
      </c>
      <c r="T40" s="92">
        <f>IF(ISNUMBER(J40),J40,"")</f>
        <v/>
      </c>
      <c r="U40" s="92">
        <f>IF(ISNUMBER(M40),M40,"")</f>
        <v/>
      </c>
      <c r="W40" s="38" t="n"/>
      <c r="Y40" s="38" t="n"/>
      <c r="Z40">
        <f>IF(AND($W40=$A40,ISNUMBER($X40)),$X40,"")</f>
        <v/>
      </c>
      <c r="AA40">
        <f>IF(AND($W40=$A40,ISNUMBER($Y40)),$Y40,"")</f>
        <v/>
      </c>
    </row>
    <row r="41">
      <c r="A41" s="38" t="n"/>
      <c r="D41" s="38" t="n"/>
      <c r="E41" s="38" t="n"/>
      <c r="I41" s="38" t="n"/>
      <c r="J41" s="38" t="n"/>
      <c r="K41" s="38" t="n"/>
      <c r="L41" s="38" t="n"/>
      <c r="M41" s="84">
        <f>IFERROR(((K41/L41)^(1/3)-1)*100,"")</f>
        <v/>
      </c>
      <c r="N41" s="92">
        <f>IF(ISNUMBER(D41),D41,"")</f>
        <v/>
      </c>
      <c r="O41" s="92">
        <f>IF(ISNUMBER(E41),E41,"")</f>
        <v/>
      </c>
      <c r="P41" s="92">
        <f>IF(ISNUMBER(F41),F41,"")</f>
        <v/>
      </c>
      <c r="Q41" s="92">
        <f>IF(ISNUMBER(G41),G41,"")</f>
        <v/>
      </c>
      <c r="R41" s="92">
        <f>IF(ISNUMBER(H41),H41,"")</f>
        <v/>
      </c>
      <c r="S41" s="92">
        <f>IF(ISNUMBER(I41),I41,"")</f>
        <v/>
      </c>
      <c r="T41" s="92">
        <f>IF(ISNUMBER(J41),J41,"")</f>
        <v/>
      </c>
      <c r="U41" s="92">
        <f>IF(ISNUMBER(M41),M41,"")</f>
        <v/>
      </c>
      <c r="W41" s="38" t="n"/>
      <c r="X41" s="38" t="n"/>
      <c r="Y41" s="38" t="n"/>
      <c r="Z41">
        <f>IF(AND($W41=$A41,ISNUMBER($X41)),$X41,"")</f>
        <v/>
      </c>
      <c r="AA41">
        <f>IF(AND($W41=$A41,ISNUMBER($Y41)),$Y41,"")</f>
        <v/>
      </c>
    </row>
    <row r="42">
      <c r="A42" s="38" t="n"/>
      <c r="D42" s="38" t="n"/>
      <c r="E42" s="38" t="n"/>
      <c r="I42" s="38" t="n"/>
      <c r="J42" s="38" t="n"/>
      <c r="L42" s="38" t="n"/>
      <c r="M42" s="84">
        <f>IFERROR(((K42/L42)^(1/3)-1)*100,"")</f>
        <v/>
      </c>
      <c r="N42" s="92">
        <f>IF(ISNUMBER(D42),D42,"")</f>
        <v/>
      </c>
      <c r="O42" s="92">
        <f>IF(ISNUMBER(E42),E42,"")</f>
        <v/>
      </c>
      <c r="P42" s="92">
        <f>IF(ISNUMBER(F42),F42,"")</f>
        <v/>
      </c>
      <c r="Q42" s="92">
        <f>IF(ISNUMBER(G42),G42,"")</f>
        <v/>
      </c>
      <c r="R42" s="92">
        <f>IF(ISNUMBER(H42),H42,"")</f>
        <v/>
      </c>
      <c r="S42" s="92">
        <f>IF(ISNUMBER(I42),I42,"")</f>
        <v/>
      </c>
      <c r="T42" s="92">
        <f>IF(ISNUMBER(J42),J42,"")</f>
        <v/>
      </c>
      <c r="U42" s="92">
        <f>IF(ISNUMBER(M42),M42,"")</f>
        <v/>
      </c>
      <c r="W42" s="38" t="n"/>
      <c r="X42" s="38" t="n"/>
      <c r="Y42" s="38" t="n"/>
      <c r="Z42">
        <f>IF(AND($W42=$A42,ISNUMBER($X42)),$X42,"")</f>
        <v/>
      </c>
      <c r="AA42">
        <f>IF(AND($W42=$A42,ISNUMBER($Y42)),$Y42,"")</f>
        <v/>
      </c>
    </row>
    <row r="43">
      <c r="A43" s="38" t="n"/>
      <c r="D43" s="38" t="n"/>
      <c r="E43" s="38" t="n"/>
      <c r="F43" s="38" t="n"/>
      <c r="I43" s="38" t="n"/>
      <c r="J43" s="38" t="n"/>
      <c r="K43" s="38" t="n"/>
      <c r="L43" s="38" t="n"/>
      <c r="M43" s="84">
        <f>IFERROR(((K43/L43)^(1/3)-1)*100,"")</f>
        <v/>
      </c>
      <c r="N43" s="92">
        <f>IF(ISNUMBER(D43),D43,"")</f>
        <v/>
      </c>
      <c r="O43" s="92">
        <f>IF(ISNUMBER(E43),E43,"")</f>
        <v/>
      </c>
      <c r="P43" s="92">
        <f>IF(ISNUMBER(F43),F43,"")</f>
        <v/>
      </c>
      <c r="Q43" s="92">
        <f>IF(ISNUMBER(G43),G43,"")</f>
        <v/>
      </c>
      <c r="R43" s="92">
        <f>IF(ISNUMBER(H43),H43,"")</f>
        <v/>
      </c>
      <c r="S43" s="92">
        <f>IF(ISNUMBER(I43),I43,"")</f>
        <v/>
      </c>
      <c r="T43" s="92">
        <f>IF(ISNUMBER(J43),J43,"")</f>
        <v/>
      </c>
      <c r="U43" s="92">
        <f>IF(ISNUMBER(M43),M43,"")</f>
        <v/>
      </c>
      <c r="W43" s="38" t="n"/>
      <c r="X43" s="38" t="n"/>
      <c r="Y43" s="38" t="n"/>
      <c r="Z43">
        <f>IF(AND($W43=$A43,ISNUMBER($X43)),$X43,"")</f>
        <v/>
      </c>
      <c r="AA43">
        <f>IF(AND($W43=$A43,ISNUMBER($Y43)),$Y43,"")</f>
        <v/>
      </c>
    </row>
    <row r="44">
      <c r="A44" s="38" t="n"/>
      <c r="D44" s="38" t="n"/>
      <c r="E44" s="38" t="n"/>
      <c r="I44" s="38" t="n"/>
      <c r="J44" s="38" t="n"/>
      <c r="K44" s="38" t="n"/>
      <c r="M44" s="84">
        <f>IFERROR(((K44/L44)^(1/3)-1)*100,"")</f>
        <v/>
      </c>
      <c r="N44" s="92">
        <f>IF(ISNUMBER(D44),D44,"")</f>
        <v/>
      </c>
      <c r="O44" s="92">
        <f>IF(ISNUMBER(E44),E44,"")</f>
        <v/>
      </c>
      <c r="P44" s="92">
        <f>IF(ISNUMBER(F44),F44,"")</f>
        <v/>
      </c>
      <c r="Q44" s="92">
        <f>IF(ISNUMBER(G44),G44,"")</f>
        <v/>
      </c>
      <c r="R44" s="92">
        <f>IF(ISNUMBER(H44),H44,"")</f>
        <v/>
      </c>
      <c r="S44" s="92">
        <f>IF(ISNUMBER(I44),I44,"")</f>
        <v/>
      </c>
      <c r="T44" s="92">
        <f>IF(ISNUMBER(J44),J44,"")</f>
        <v/>
      </c>
      <c r="U44" s="92">
        <f>IF(ISNUMBER(M44),M44,"")</f>
        <v/>
      </c>
      <c r="W44" s="38" t="n"/>
      <c r="Y44" s="38" t="n"/>
      <c r="Z44">
        <f>IF(AND($W44=$A44,ISNUMBER($X44)),$X44,"")</f>
        <v/>
      </c>
      <c r="AA44">
        <f>IF(AND($W44=$A44,ISNUMBER($Y44)),$Y44,"")</f>
        <v/>
      </c>
    </row>
    <row r="45">
      <c r="A45" s="38" t="n"/>
      <c r="D45" s="38" t="n"/>
      <c r="E45" s="38" t="n"/>
      <c r="I45" s="38" t="n"/>
      <c r="J45" s="38" t="n"/>
      <c r="M45" s="84">
        <f>IFERROR(((K45/L45)^(1/3)-1)*100,"")</f>
        <v/>
      </c>
      <c r="N45" s="92">
        <f>IF(ISNUMBER(D45),D45,"")</f>
        <v/>
      </c>
      <c r="O45" s="92">
        <f>IF(ISNUMBER(E45),E45,"")</f>
        <v/>
      </c>
      <c r="P45" s="92">
        <f>IF(ISNUMBER(F45),F45,"")</f>
        <v/>
      </c>
      <c r="Q45" s="92">
        <f>IF(ISNUMBER(G45),G45,"")</f>
        <v/>
      </c>
      <c r="R45" s="92">
        <f>IF(ISNUMBER(H45),H45,"")</f>
        <v/>
      </c>
      <c r="S45" s="92">
        <f>IF(ISNUMBER(I45),I45,"")</f>
        <v/>
      </c>
      <c r="T45" s="92">
        <f>IF(ISNUMBER(J45),J45,"")</f>
        <v/>
      </c>
      <c r="U45" s="92">
        <f>IF(ISNUMBER(M45),M45,"")</f>
        <v/>
      </c>
      <c r="W45" s="38" t="n"/>
      <c r="Y45" s="38" t="n"/>
      <c r="Z45">
        <f>IF(AND($W45=$A45,ISNUMBER($X45)),$X45,"")</f>
        <v/>
      </c>
      <c r="AA45">
        <f>IF(AND($W45=$A45,ISNUMBER($Y45)),$Y45,"")</f>
        <v/>
      </c>
    </row>
    <row r="46">
      <c r="A46" s="38" t="n"/>
      <c r="D46" s="38" t="n"/>
      <c r="G46" s="38" t="n"/>
      <c r="I46" s="38" t="n"/>
      <c r="J46" s="38" t="n"/>
      <c r="K46" s="38" t="n"/>
      <c r="L46" s="38" t="n"/>
      <c r="M46" s="84">
        <f>IFERROR(((K46/L46)^(1/3)-1)*100,"")</f>
        <v/>
      </c>
      <c r="N46" s="92">
        <f>IF(ISNUMBER(D46),D46,"")</f>
        <v/>
      </c>
      <c r="O46" s="92">
        <f>IF(ISNUMBER(E46),E46,"")</f>
        <v/>
      </c>
      <c r="P46" s="92">
        <f>IF(ISNUMBER(F46),F46,"")</f>
        <v/>
      </c>
      <c r="Q46" s="92">
        <f>IF(ISNUMBER(G46),G46,"")</f>
        <v/>
      </c>
      <c r="R46" s="92">
        <f>IF(ISNUMBER(H46),H46,"")</f>
        <v/>
      </c>
      <c r="S46" s="92">
        <f>IF(ISNUMBER(I46),I46,"")</f>
        <v/>
      </c>
      <c r="T46" s="92">
        <f>IF(ISNUMBER(J46),J46,"")</f>
        <v/>
      </c>
      <c r="U46" s="92">
        <f>IF(ISNUMBER(M46),M46,"")</f>
        <v/>
      </c>
      <c r="W46" s="38" t="n"/>
      <c r="X46" s="38" t="n"/>
      <c r="Y46" s="38" t="n"/>
      <c r="Z46">
        <f>IF(AND($W46=$A46,ISNUMBER($X46)),$X46,"")</f>
        <v/>
      </c>
      <c r="AA46">
        <f>IF(AND($W46=$A46,ISNUMBER($Y46)),$Y46,"")</f>
        <v/>
      </c>
    </row>
    <row r="47">
      <c r="A47" s="38" t="n"/>
      <c r="D47" s="38" t="n"/>
      <c r="E47" s="38" t="n"/>
      <c r="J47" s="38" t="n"/>
      <c r="K47" s="38" t="n"/>
      <c r="L47" s="38" t="n"/>
      <c r="M47" s="84">
        <f>IFERROR(((K47/L47)^(1/3)-1)*100,"")</f>
        <v/>
      </c>
      <c r="N47" s="92">
        <f>IF(ISNUMBER(D47),D47,"")</f>
        <v/>
      </c>
      <c r="O47" s="92">
        <f>IF(ISNUMBER(E47),E47,"")</f>
        <v/>
      </c>
      <c r="P47" s="92">
        <f>IF(ISNUMBER(F47),F47,"")</f>
        <v/>
      </c>
      <c r="Q47" s="92">
        <f>IF(ISNUMBER(G47),G47,"")</f>
        <v/>
      </c>
      <c r="R47" s="92">
        <f>IF(ISNUMBER(H47),H47,"")</f>
        <v/>
      </c>
      <c r="S47" s="92">
        <f>IF(ISNUMBER(I47),I47,"")</f>
        <v/>
      </c>
      <c r="T47" s="92">
        <f>IF(ISNUMBER(J47),J47,"")</f>
        <v/>
      </c>
      <c r="U47" s="92">
        <f>IF(ISNUMBER(M47),M47,"")</f>
        <v/>
      </c>
      <c r="W47" s="38" t="n"/>
      <c r="X47" s="38" t="n"/>
      <c r="Y47" s="38" t="n"/>
      <c r="Z47">
        <f>IF(AND($W47=$A47,ISNUMBER($X47)),$X47,"")</f>
        <v/>
      </c>
      <c r="AA47">
        <f>IF(AND($W47=$A47,ISNUMBER($Y47)),$Y47,"")</f>
        <v/>
      </c>
    </row>
    <row r="48">
      <c r="A48" s="38" t="n"/>
      <c r="D48" s="38" t="n"/>
      <c r="M48" s="84">
        <f>IFERROR(((K48/L48)^(1/3)-1)*100,"")</f>
        <v/>
      </c>
      <c r="N48" s="92">
        <f>IF(ISNUMBER(D48),D48,"")</f>
        <v/>
      </c>
      <c r="O48" s="92">
        <f>IF(ISNUMBER(E48),E48,"")</f>
        <v/>
      </c>
      <c r="P48" s="92">
        <f>IF(ISNUMBER(F48),F48,"")</f>
        <v/>
      </c>
      <c r="Q48" s="92">
        <f>IF(ISNUMBER(G48),G48,"")</f>
        <v/>
      </c>
      <c r="R48" s="92">
        <f>IF(ISNUMBER(H48),H48,"")</f>
        <v/>
      </c>
      <c r="S48" s="92">
        <f>IF(ISNUMBER(I48),I48,"")</f>
        <v/>
      </c>
      <c r="T48" s="92">
        <f>IF(ISNUMBER(J48),J48,"")</f>
        <v/>
      </c>
      <c r="U48" s="92">
        <f>IF(ISNUMBER(M48),M48,"")</f>
        <v/>
      </c>
      <c r="W48" s="38" t="n"/>
      <c r="Y48" s="38" t="n"/>
      <c r="Z48">
        <f>IF(AND($W48=$A48,ISNUMBER($X48)),$X48,"")</f>
        <v/>
      </c>
      <c r="AA48">
        <f>IF(AND($W48=$A48,ISNUMBER($Y48)),$Y48,"")</f>
        <v/>
      </c>
    </row>
    <row r="49">
      <c r="A49" s="38" t="n"/>
      <c r="D49" s="38" t="n"/>
      <c r="E49" s="38" t="n"/>
      <c r="I49" s="38" t="n"/>
      <c r="J49" s="38" t="n"/>
      <c r="M49" s="84">
        <f>IFERROR(((K49/L49)^(1/3)-1)*100,"")</f>
        <v/>
      </c>
      <c r="N49" s="92">
        <f>IF(ISNUMBER(D49),D49,"")</f>
        <v/>
      </c>
      <c r="O49" s="92">
        <f>IF(ISNUMBER(E49),E49,"")</f>
        <v/>
      </c>
      <c r="P49" s="92">
        <f>IF(ISNUMBER(F49),F49,"")</f>
        <v/>
      </c>
      <c r="Q49" s="92">
        <f>IF(ISNUMBER(G49),G49,"")</f>
        <v/>
      </c>
      <c r="R49" s="92">
        <f>IF(ISNUMBER(H49),H49,"")</f>
        <v/>
      </c>
      <c r="S49" s="92">
        <f>IF(ISNUMBER(I49),I49,"")</f>
        <v/>
      </c>
      <c r="T49" s="92">
        <f>IF(ISNUMBER(J49),J49,"")</f>
        <v/>
      </c>
      <c r="U49" s="92">
        <f>IF(ISNUMBER(M49),M49,"")</f>
        <v/>
      </c>
      <c r="W49" s="38" t="n"/>
      <c r="Y49" s="38" t="n"/>
      <c r="Z49">
        <f>IF(AND($W49=$A49,ISNUMBER($X49)),$X49,"")</f>
        <v/>
      </c>
      <c r="AA49">
        <f>IF(AND($W49=$A49,ISNUMBER($Y49)),$Y49,"")</f>
        <v/>
      </c>
    </row>
    <row r="50">
      <c r="A50" s="38" t="n"/>
      <c r="D50" s="38" t="n"/>
      <c r="I50" s="38" t="n"/>
      <c r="J50" s="38" t="n"/>
      <c r="M50" s="84">
        <f>IFERROR(((K50/L50)^(1/3)-1)*100,"")</f>
        <v/>
      </c>
      <c r="N50" s="92">
        <f>IF(ISNUMBER(D50),D50,"")</f>
        <v/>
      </c>
      <c r="O50" s="92">
        <f>IF(ISNUMBER(E50),E50,"")</f>
        <v/>
      </c>
      <c r="P50" s="92">
        <f>IF(ISNUMBER(F50),F50,"")</f>
        <v/>
      </c>
      <c r="Q50" s="92">
        <f>IF(ISNUMBER(G50),G50,"")</f>
        <v/>
      </c>
      <c r="R50" s="92">
        <f>IF(ISNUMBER(H50),H50,"")</f>
        <v/>
      </c>
      <c r="S50" s="92">
        <f>IF(ISNUMBER(I50),I50,"")</f>
        <v/>
      </c>
      <c r="T50" s="92">
        <f>IF(ISNUMBER(J50),J50,"")</f>
        <v/>
      </c>
      <c r="U50" s="92">
        <f>IF(ISNUMBER(M50),M50,"")</f>
        <v/>
      </c>
      <c r="W50" s="38" t="n"/>
      <c r="Y50" s="38" t="n"/>
      <c r="Z50">
        <f>IF(AND($W50=$A50,ISNUMBER($X50)),$X50,"")</f>
        <v/>
      </c>
      <c r="AA50">
        <f>IF(AND($W50=$A50,ISNUMBER($Y50)),$Y50,"")</f>
        <v/>
      </c>
    </row>
    <row r="51">
      <c r="A51" s="38" t="n"/>
      <c r="D51" s="38" t="n"/>
      <c r="E51" s="38" t="n"/>
      <c r="I51" s="38" t="n"/>
      <c r="M51" s="84">
        <f>IFERROR(((K51/L51)^(1/3)-1)*100,"")</f>
        <v/>
      </c>
      <c r="N51" s="92">
        <f>IF(ISNUMBER(D51),D51,"")</f>
        <v/>
      </c>
      <c r="O51" s="92">
        <f>IF(ISNUMBER(E51),E51,"")</f>
        <v/>
      </c>
      <c r="P51" s="92">
        <f>IF(ISNUMBER(F51),F51,"")</f>
        <v/>
      </c>
      <c r="Q51" s="92">
        <f>IF(ISNUMBER(G51),G51,"")</f>
        <v/>
      </c>
      <c r="R51" s="92">
        <f>IF(ISNUMBER(H51),H51,"")</f>
        <v/>
      </c>
      <c r="S51" s="92">
        <f>IF(ISNUMBER(I51),I51,"")</f>
        <v/>
      </c>
      <c r="T51" s="92">
        <f>IF(ISNUMBER(J51),J51,"")</f>
        <v/>
      </c>
      <c r="U51" s="92">
        <f>IF(ISNUMBER(M51),M51,"")</f>
        <v/>
      </c>
      <c r="W51" s="38" t="n"/>
      <c r="Z51">
        <f>IF(AND($W51=$A51,ISNUMBER($X51)),$X51,"")</f>
        <v/>
      </c>
      <c r="AA51">
        <f>IF(AND($W51=$A51,ISNUMBER($Y51)),$Y51,"")</f>
        <v/>
      </c>
    </row>
    <row r="52">
      <c r="A52" s="38" t="n"/>
      <c r="D52" s="38" t="n"/>
      <c r="E52" s="38" t="n"/>
      <c r="G52" s="38" t="n"/>
      <c r="I52" s="38" t="n"/>
      <c r="M52" s="84">
        <f>IFERROR(((K52/L52)^(1/3)-1)*100,"")</f>
        <v/>
      </c>
      <c r="N52" s="92">
        <f>IF(ISNUMBER(D52),D52,"")</f>
        <v/>
      </c>
      <c r="O52" s="92">
        <f>IF(ISNUMBER(E52),E52,"")</f>
        <v/>
      </c>
      <c r="P52" s="92">
        <f>IF(ISNUMBER(F52),F52,"")</f>
        <v/>
      </c>
      <c r="Q52" s="92">
        <f>IF(ISNUMBER(G52),G52,"")</f>
        <v/>
      </c>
      <c r="R52" s="92">
        <f>IF(ISNUMBER(H52),H52,"")</f>
        <v/>
      </c>
      <c r="S52" s="92">
        <f>IF(ISNUMBER(I52),I52,"")</f>
        <v/>
      </c>
      <c r="T52" s="92">
        <f>IF(ISNUMBER(J52),J52,"")</f>
        <v/>
      </c>
      <c r="U52" s="92">
        <f>IF(ISNUMBER(M52),M52,"")</f>
        <v/>
      </c>
      <c r="W52" s="38" t="n"/>
      <c r="X52" s="38" t="n"/>
      <c r="Y52" s="38" t="n"/>
      <c r="Z52">
        <f>IF(AND($W52=$A52,ISNUMBER($X52)),$X52,"")</f>
        <v/>
      </c>
      <c r="AA52">
        <f>IF(AND($W52=$A52,ISNUMBER($Y52)),$Y52,"")</f>
        <v/>
      </c>
    </row>
    <row r="53">
      <c r="A53" s="38" t="n"/>
      <c r="D53" s="38" t="n"/>
      <c r="E53" s="38" t="n"/>
      <c r="F53" s="38" t="n"/>
      <c r="G53" s="38" t="n"/>
      <c r="H53" s="38" t="n"/>
      <c r="I53" s="38" t="n"/>
      <c r="J53" s="38" t="n"/>
      <c r="K53" s="38" t="n"/>
      <c r="L53" s="38" t="n"/>
      <c r="M53" s="84">
        <f>IFERROR(((K53/L53)^(1/3)-1)*100,"")</f>
        <v/>
      </c>
      <c r="N53" s="92">
        <f>IF(ISNUMBER(D53),D53,"")</f>
        <v/>
      </c>
      <c r="O53" s="92">
        <f>IF(ISNUMBER(E53),E53,"")</f>
        <v/>
      </c>
      <c r="P53" s="92">
        <f>IF(ISNUMBER(F53),F53,"")</f>
        <v/>
      </c>
      <c r="Q53" s="92">
        <f>IF(ISNUMBER(G53),G53,"")</f>
        <v/>
      </c>
      <c r="R53" s="92">
        <f>IF(ISNUMBER(H53),H53,"")</f>
        <v/>
      </c>
      <c r="S53" s="92">
        <f>IF(ISNUMBER(I53),I53,"")</f>
        <v/>
      </c>
      <c r="T53" s="92">
        <f>IF(ISNUMBER(J53),J53,"")</f>
        <v/>
      </c>
      <c r="U53" s="92">
        <f>IF(ISNUMBER(M53),M53,"")</f>
        <v/>
      </c>
      <c r="W53" s="38" t="n"/>
      <c r="Y53" s="38" t="n"/>
      <c r="Z53">
        <f>IF(AND($W53=$A53,ISNUMBER($X53)),$X53,"")</f>
        <v/>
      </c>
      <c r="AA53">
        <f>IF(AND($W53=$A53,ISNUMBER($Y53)),$Y53,"")</f>
        <v/>
      </c>
    </row>
    <row r="54">
      <c r="A54" s="38" t="n"/>
      <c r="D54" s="38" t="n"/>
      <c r="E54" s="38" t="n"/>
      <c r="I54" s="38" t="n"/>
      <c r="J54" s="38" t="n"/>
      <c r="K54" s="38" t="n"/>
      <c r="L54" s="38" t="n"/>
      <c r="M54" s="84">
        <f>IFERROR(((K54/L54)^(1/3)-1)*100,"")</f>
        <v/>
      </c>
      <c r="N54" s="92">
        <f>IF(ISNUMBER(D54),D54,"")</f>
        <v/>
      </c>
      <c r="O54" s="92">
        <f>IF(ISNUMBER(E54),E54,"")</f>
        <v/>
      </c>
      <c r="P54" s="92">
        <f>IF(ISNUMBER(F54),F54,"")</f>
        <v/>
      </c>
      <c r="Q54" s="92">
        <f>IF(ISNUMBER(G54),G54,"")</f>
        <v/>
      </c>
      <c r="R54" s="92">
        <f>IF(ISNUMBER(H54),H54,"")</f>
        <v/>
      </c>
      <c r="S54" s="92">
        <f>IF(ISNUMBER(I54),I54,"")</f>
        <v/>
      </c>
      <c r="T54" s="92">
        <f>IF(ISNUMBER(J54),J54,"")</f>
        <v/>
      </c>
      <c r="U54" s="92">
        <f>IF(ISNUMBER(M54),M54,"")</f>
        <v/>
      </c>
      <c r="W54" s="38" t="n"/>
      <c r="Z54">
        <f>IF(AND($W54=$A54,ISNUMBER($X54)),$X54,"")</f>
        <v/>
      </c>
      <c r="AA54">
        <f>IF(AND($W54=$A54,ISNUMBER($Y54)),$Y54,"")</f>
        <v/>
      </c>
    </row>
    <row r="55">
      <c r="L55" s="92" t="n"/>
      <c r="M55" s="92" t="inlineStr">
        <is>
          <t>subj-&gt;</t>
        </is>
      </c>
      <c r="N55" s="92">
        <f>Snapshot!D25</f>
        <v/>
      </c>
      <c r="O55" s="92">
        <f>Snapshot!D28</f>
        <v/>
      </c>
      <c r="P55" s="92">
        <f>Snapshot!D27</f>
        <v/>
      </c>
      <c r="Q55" s="92">
        <f>History!H7</f>
        <v/>
      </c>
      <c r="R55" s="92">
        <f>History!H12</f>
        <v/>
      </c>
      <c r="S55" s="92">
        <f>Snapshot!D35*100</f>
        <v/>
      </c>
      <c r="T55" s="92">
        <f>Snapshot!D42</f>
        <v/>
      </c>
      <c r="U55" s="92">
        <f>IFERROR(((History!G5/History!D5)^(1/3)-1)*100,"")</f>
        <v/>
      </c>
      <c r="Z55">
        <f>Snapshot!D26</f>
        <v/>
      </c>
      <c r="AA55">
        <f>Snapshot!D33</f>
        <v/>
      </c>
    </row>
    <row r="57">
      <c r="A57" s="57" t="inlineStr">
        <is>
          <t>DENNIS — self-scoring vs peers (percentile of THIS ticker in each peer column)</t>
        </is>
      </c>
    </row>
    <row r="58">
      <c r="A58" s="92" t="inlineStr">
        <is>
          <t>PERCENTRANK.INC of the subject value within the cleaned peer columns above. 'Read' bakes in direction so a glance tells you cheap/expensive and strong/weak.</t>
        </is>
      </c>
    </row>
    <row r="59">
      <c r="A59" s="71" t="inlineStr">
        <is>
          <t>Metric</t>
        </is>
      </c>
      <c r="B59" s="71" t="inlineStr">
        <is>
          <t>Subject</t>
        </is>
      </c>
      <c r="C59" s="71" t="inlineStr">
        <is>
          <t>Peer median</t>
        </is>
      </c>
      <c r="D59" s="71" t="inlineStr">
        <is>
          <t>Percentile</t>
        </is>
      </c>
      <c r="E59" s="71" t="inlineStr">
        <is>
          <t>Higher is</t>
        </is>
      </c>
      <c r="F59" s="71" t="inlineStr">
        <is>
          <t>Read</t>
        </is>
      </c>
      <c r="G59" s="93" t="inlineStr">
        <is>
          <t>Peer low (p10)</t>
        </is>
      </c>
      <c r="H59" s="93" t="inlineStr">
        <is>
          <t>Peer high (p90)</t>
        </is>
      </c>
      <c r="I59" s="93" t="inlineStr">
        <is>
          <t>t (subject)</t>
        </is>
      </c>
      <c r="J59" s="93" t="inlineStr">
        <is>
          <t>t (median)</t>
        </is>
      </c>
    </row>
    <row r="60">
      <c r="A60" s="75" t="inlineStr">
        <is>
          <t>P/E (TTM)</t>
        </is>
      </c>
      <c r="B60" s="76">
        <f>Snapshot!D25</f>
        <v/>
      </c>
      <c r="C60" s="76">
        <f>IFERROR(MEDIAN(N5:N54),"")</f>
        <v/>
      </c>
      <c r="D60" s="77">
        <f>IFERROR(_xlfn.PERCENTRANK.INC(N5:N55,B60),"")</f>
        <v/>
      </c>
      <c r="E60" s="92" t="inlineStr">
        <is>
          <t>worse (expensive/levered)</t>
        </is>
      </c>
      <c r="F60" s="78">
        <f>IF(D60="","",IF(D60&gt;=0.8,"expensive vs peers",IF(D60&lt;=0.2,"cheap vs peers","mid-pack")))</f>
        <v/>
      </c>
      <c r="G60">
        <f>IFERROR(_xlfn.PERCENTILE.INC(N5:N54,0.1),"")</f>
        <v/>
      </c>
      <c r="H60">
        <f>IFERROR(_xlfn.PERCENTILE.INC(N5:N54,0.9),"")</f>
        <v/>
      </c>
      <c r="I60">
        <f>IF(OR($G60="",$H60="",$H60=$G60,$B60=""),"",($B60-$G60)/($H60-$G60))</f>
        <v/>
      </c>
      <c r="J60">
        <f>IF(OR($G60="",$H60="",$H60=$G60,$C60=""),"",($C60-$G60)/($H60-$G60))</f>
        <v/>
      </c>
    </row>
    <row r="61">
      <c r="A61" s="75" t="inlineStr">
        <is>
          <t>EV/EBITDA</t>
        </is>
      </c>
      <c r="B61" s="76">
        <f>Snapshot!D28</f>
        <v/>
      </c>
      <c r="C61" s="76">
        <f>IFERROR(MEDIAN(O5:O54),"")</f>
        <v/>
      </c>
      <c r="D61" s="77">
        <f>IFERROR(_xlfn.PERCENTRANK.INC(O5:O55,B61),"")</f>
        <v/>
      </c>
      <c r="E61" s="92" t="inlineStr">
        <is>
          <t>worse (expensive/levered)</t>
        </is>
      </c>
      <c r="F61" s="78">
        <f>IF(D61="","",IF(D61&gt;=0.8,"expensive vs peers",IF(D61&lt;=0.2,"cheap vs peers","mid-pack")))</f>
        <v/>
      </c>
      <c r="G61">
        <f>IFERROR(_xlfn.PERCENTILE.INC(O5:O54,0.1),"")</f>
        <v/>
      </c>
      <c r="H61">
        <f>IFERROR(_xlfn.PERCENTILE.INC(O5:O54,0.9),"")</f>
        <v/>
      </c>
      <c r="I61">
        <f>IF(OR($G61="",$H61="",$H61=$G61,$B61=""),"",($B61-$G61)/($H61-$G61))</f>
        <v/>
      </c>
      <c r="J61">
        <f>IF(OR($G61="",$H61="",$H61=$G61,$C61=""),"",($C61-$G61)/($H61-$G61))</f>
        <v/>
      </c>
    </row>
    <row r="62">
      <c r="A62" s="75" t="inlineStr">
        <is>
          <t>P/S (TTM)</t>
        </is>
      </c>
      <c r="B62" s="76">
        <f>Snapshot!D27</f>
        <v/>
      </c>
      <c r="C62" s="76">
        <f>IFERROR(MEDIAN(P5:P54),"")</f>
        <v/>
      </c>
      <c r="D62" s="77">
        <f>IFERROR(_xlfn.PERCENTRANK.INC(P5:P55,B62),"")</f>
        <v/>
      </c>
      <c r="E62" s="92" t="inlineStr">
        <is>
          <t>worse (expensive/levered)</t>
        </is>
      </c>
      <c r="F62" s="78">
        <f>IF(D62="","",IF(D62&gt;=0.8,"expensive vs peers",IF(D62&lt;=0.2,"cheap vs peers","mid-pack")))</f>
        <v/>
      </c>
      <c r="G62">
        <f>IFERROR(_xlfn.PERCENTILE.INC(P5:P54,0.1),"")</f>
        <v/>
      </c>
      <c r="H62">
        <f>IFERROR(_xlfn.PERCENTILE.INC(P5:P54,0.9),"")</f>
        <v/>
      </c>
      <c r="I62">
        <f>IF(OR($G62="",$H62="",$H62=$G62,$B62=""),"",($B62-$G62)/($H62-$G62))</f>
        <v/>
      </c>
      <c r="J62">
        <f>IF(OR($G62="",$H62="",$H62=$G62,$C62=""),"",($C62-$G62)/($H62-$G62))</f>
        <v/>
      </c>
    </row>
    <row r="63">
      <c r="A63" s="75" t="inlineStr">
        <is>
          <t>Rev growth % (3Y CAGR)</t>
        </is>
      </c>
      <c r="B63" s="79">
        <f>IFERROR(((History!G5/History!D5)^(1/3)-1)*100,"")</f>
        <v/>
      </c>
      <c r="C63" s="79">
        <f>IFERROR(MEDIAN(U5:U54),"")</f>
        <v/>
      </c>
      <c r="D63" s="77">
        <f>IFERROR(_xlfn.PERCENTRANK.INC(U5:U55,B63),"")</f>
        <v/>
      </c>
      <c r="E63" s="92" t="inlineStr">
        <is>
          <t>better</t>
        </is>
      </c>
      <c r="F63" s="78">
        <f>IF(D63="","",IF(D63&gt;=0.8,"strong vs peers",IF(D63&lt;=0.2,"weak vs peers","mid-pack")))</f>
        <v/>
      </c>
      <c r="G63">
        <f>IFERROR(_xlfn.PERCENTILE.INC(U5:U54,0.1),"")</f>
        <v/>
      </c>
      <c r="H63">
        <f>IFERROR(_xlfn.PERCENTILE.INC(U5:U54,0.9),"")</f>
        <v/>
      </c>
      <c r="I63">
        <f>IF(OR($G63="",$H63="",$H63=$G63,$B63=""),"",($B63-$G63)/($H63-$G63))</f>
        <v/>
      </c>
      <c r="J63">
        <f>IF(OR($G63="",$H63="",$H63=$G63,$C63=""),"",($C63-$G63)/($H63-$G63))</f>
        <v/>
      </c>
    </row>
    <row r="64">
      <c r="A64" s="75" t="inlineStr">
        <is>
          <t>Gross margin %</t>
        </is>
      </c>
      <c r="B64" s="79">
        <f>History!H7</f>
        <v/>
      </c>
      <c r="C64" s="79">
        <f>IFERROR(MEDIAN(Q5:Q54),"")</f>
        <v/>
      </c>
      <c r="D64" s="77">
        <f>IFERROR(_xlfn.PERCENTRANK.INC(Q5:Q55,B64),"")</f>
        <v/>
      </c>
      <c r="E64" s="92" t="inlineStr">
        <is>
          <t>better</t>
        </is>
      </c>
      <c r="F64" s="78">
        <f>IF(D64="","",IF(D64&gt;=0.8,"strong vs peers",IF(D64&lt;=0.2,"weak vs peers","mid-pack")))</f>
        <v/>
      </c>
      <c r="G64">
        <f>IFERROR(_xlfn.PERCENTILE.INC(Q5:Q54,0.1),"")</f>
        <v/>
      </c>
      <c r="H64">
        <f>IFERROR(_xlfn.PERCENTILE.INC(Q5:Q54,0.9),"")</f>
        <v/>
      </c>
      <c r="I64">
        <f>IF(OR($G64="",$H64="",$H64=$G64,$B64=""),"",($B64-$G64)/($H64-$G64))</f>
        <v/>
      </c>
      <c r="J64">
        <f>IF(OR($G64="",$H64="",$H64=$G64,$C64=""),"",($C64-$G64)/($H64-$G64))</f>
        <v/>
      </c>
    </row>
    <row r="65">
      <c r="A65" s="75" t="inlineStr">
        <is>
          <t>Net margin %</t>
        </is>
      </c>
      <c r="B65" s="79">
        <f>History!H12</f>
        <v/>
      </c>
      <c r="C65" s="79">
        <f>IFERROR(MEDIAN(R5:R54),"")</f>
        <v/>
      </c>
      <c r="D65" s="77">
        <f>IFERROR(_xlfn.PERCENTRANK.INC(R5:R55,B65),"")</f>
        <v/>
      </c>
      <c r="E65" s="92" t="inlineStr">
        <is>
          <t>better</t>
        </is>
      </c>
      <c r="F65" s="78">
        <f>IF(D65="","",IF(D65&gt;=0.8,"strong vs peers",IF(D65&lt;=0.2,"weak vs peers","mid-pack")))</f>
        <v/>
      </c>
      <c r="G65">
        <f>IFERROR(_xlfn.PERCENTILE.INC(R5:R54,0.1),"")</f>
        <v/>
      </c>
      <c r="H65">
        <f>IFERROR(_xlfn.PERCENTILE.INC(R5:R54,0.9),"")</f>
        <v/>
      </c>
      <c r="I65">
        <f>IF(OR($G65="",$H65="",$H65=$G65,$B65=""),"",($B65-$G65)/($H65-$G65))</f>
        <v/>
      </c>
      <c r="J65">
        <f>IF(OR($G65="",$H65="",$H65=$G65,$C65=""),"",($C65-$G65)/($H65-$G65))</f>
        <v/>
      </c>
    </row>
    <row r="66">
      <c r="A66" s="75" t="inlineStr">
        <is>
          <t>FCF yield %</t>
        </is>
      </c>
      <c r="B66" s="79">
        <f>Snapshot!D35*100</f>
        <v/>
      </c>
      <c r="C66" s="79">
        <f>IFERROR(MEDIAN(S5:S54),"")</f>
        <v/>
      </c>
      <c r="D66" s="77">
        <f>IFERROR(_xlfn.PERCENTRANK.INC(S5:S55,B66),"")</f>
        <v/>
      </c>
      <c r="E66" s="92" t="inlineStr">
        <is>
          <t>better</t>
        </is>
      </c>
      <c r="F66" s="78">
        <f>IF(D66="","",IF(D66&gt;=0.8,"strong vs peers",IF(D66&lt;=0.2,"weak vs peers","mid-pack")))</f>
        <v/>
      </c>
      <c r="G66">
        <f>IFERROR(_xlfn.PERCENTILE.INC(S5:S54,0.1),"")</f>
        <v/>
      </c>
      <c r="H66">
        <f>IFERROR(_xlfn.PERCENTILE.INC(S5:S54,0.9),"")</f>
        <v/>
      </c>
      <c r="I66">
        <f>IF(OR($G66="",$H66="",$H66=$G66,$B66=""),"",($B66-$G66)/($H66-$G66))</f>
        <v/>
      </c>
      <c r="J66">
        <f>IF(OR($G66="",$H66="",$H66=$G66,$C66=""),"",($C66-$G66)/($H66-$G66))</f>
        <v/>
      </c>
    </row>
    <row r="67">
      <c r="A67" s="75" t="inlineStr">
        <is>
          <t>Net debt / EBITDA</t>
        </is>
      </c>
      <c r="B67" s="76">
        <f>Snapshot!D42</f>
        <v/>
      </c>
      <c r="C67" s="76">
        <f>IFERROR(MEDIAN(T5:T54),"")</f>
        <v/>
      </c>
      <c r="D67" s="77">
        <f>IFERROR(_xlfn.PERCENTRANK.INC(T5:T55,B67),"")</f>
        <v/>
      </c>
      <c r="E67" s="92" t="inlineStr">
        <is>
          <t>worse (expensive/levered)</t>
        </is>
      </c>
      <c r="F67" s="78">
        <f>IF(D67="","",IF(D67&gt;=0.8,"expensive vs peers",IF(D67&lt;=0.2,"cheap vs peers","mid-pack")))</f>
        <v/>
      </c>
      <c r="G67">
        <f>IFERROR(_xlfn.PERCENTILE.INC(T5:T54,0.1),"")</f>
        <v/>
      </c>
      <c r="H67">
        <f>IFERROR(_xlfn.PERCENTILE.INC(T5:T54,0.9),"")</f>
        <v/>
      </c>
      <c r="I67">
        <f>IF(OR($G67="",$H67="",$H67=$G67,$B67=""),"",($B67-$G67)/($H67-$G67))</f>
        <v/>
      </c>
      <c r="J67">
        <f>IF(OR($G67="",$H67="",$H67=$G67,$C67=""),"",($C67-$G67)/($H67-$G67))</f>
        <v/>
      </c>
    </row>
    <row r="68">
      <c r="A68" s="75" t="inlineStr">
        <is>
          <t>Forward P/E</t>
        </is>
      </c>
      <c r="B68" s="76">
        <f>Snapshot!D26</f>
        <v/>
      </c>
      <c r="C68" s="76">
        <f>IFERROR(MEDIAN(Z5:Z54),"")</f>
        <v/>
      </c>
      <c r="D68" s="77">
        <f>IFERROR(_xlfn.PERCENTRANK.INC(Z5:Z55,B68),"")</f>
        <v/>
      </c>
      <c r="E68" s="92" t="inlineStr">
        <is>
          <t>worse (expensive/levered)</t>
        </is>
      </c>
      <c r="F68" s="78">
        <f>IF(D68="","",IF(D68&gt;=0.8,"expensive vs peers",IF(D68&lt;=0.2,"cheap vs peers","mid-pack")))</f>
        <v/>
      </c>
      <c r="G68">
        <f>IFERROR(_xlfn.PERCENTILE.INC(Z5:Z54,0.1),"")</f>
        <v/>
      </c>
      <c r="H68">
        <f>IFERROR(_xlfn.PERCENTILE.INC(Z5:Z54,0.9),"")</f>
        <v/>
      </c>
      <c r="I68">
        <f>IF(OR($G68="",$H68="",$H68=$G68,$B68=""),"",($B68-$G68)/($H68-$G68))</f>
        <v/>
      </c>
      <c r="J68">
        <f>IF(OR($G68="",$H68="",$H68=$G68,$C68=""),"",($C68-$G68)/($H68-$G68))</f>
        <v/>
      </c>
    </row>
    <row r="69">
      <c r="A69" s="75" t="inlineStr">
        <is>
          <t>Forward PEG</t>
        </is>
      </c>
      <c r="B69" s="76">
        <f>Snapshot!D33</f>
        <v/>
      </c>
      <c r="C69" s="76">
        <f>IFERROR(MEDIAN(AA5:AA54),"")</f>
        <v/>
      </c>
      <c r="D69" s="77">
        <f>IFERROR(_xlfn.PERCENTRANK.INC(AA5:AA55,B69),"")</f>
        <v/>
      </c>
      <c r="E69" s="92" t="inlineStr">
        <is>
          <t>worse (expensive/levered)</t>
        </is>
      </c>
      <c r="F69" s="78">
        <f>IF(D69="","",IF(D69&gt;=0.8,"expensive vs peers",IF(D69&lt;=0.2,"cheap vs peers","mid-pack")))</f>
        <v/>
      </c>
      <c r="G69">
        <f>IFERROR(_xlfn.PERCENTILE.INC(AA5:AA54,0.1),"")</f>
        <v/>
      </c>
      <c r="H69">
        <f>IFERROR(_xlfn.PERCENTILE.INC(AA5:AA54,0.9),"")</f>
        <v/>
      </c>
      <c r="I69">
        <f>IF(OR($G69="",$H69="",$H69=$G69,$B69=""),"",($B69-$G69)/($H69-$G69))</f>
        <v/>
      </c>
      <c r="J69">
        <f>IF(OR($G69="",$H69="",$H69=$G69,$C69=""),"",($C69-$G69)/($H69-$G69))</f>
        <v/>
      </c>
    </row>
    <row r="72">
      <c r="A72" t="inlineStr">
        <is>
          <t>PEG (fwd)</t>
        </is>
      </c>
    </row>
    <row r="73">
      <c r="A73" t="inlineStr">
        <is>
          <t>Forward P/E and PEG for peers come from a SECOND PEERS() call in W5 (TR.FwdPE; TR.FwdPEG) so nothing above it had to move. The cln columns Z/AA only take a value when W matches the name in A, so if the two calls ever return different orders the percentile blanks instead of mislabelling. If the add-in rejects a mnemonic, swap TR.FwdPE for TR.PE(Period=FY1) in W5; if TR.FwdPEG comes back empty the PEG row just stays blank, which is the intended degradation.</t>
        </is>
      </c>
    </row>
    <row r="75">
      <c r="A75" t="inlineStr">
        <is>
          <t>G:J feed tables/multiples-strip. The plate's rail is a VALUE axis, not a rank axis: series.rangeMark takes t (the subject's position along the rail, 0 at the low end and 1 at the high) and median on that same scale. Column D percentile cannot serve as t — it is rank-based, so the median would compute to 0.5 on every row and every median tick would sit dead centre, which is both wrong and the one thing on the plate worth looking at.</t>
        </is>
      </c>
    </row>
    <row r="76">
      <c r="A76" t="inlineStr">
        <is>
          <t>The rail ends are the 10th and 90th percentile of the peer column, NOT min and max. One peer on a 900x P/E would otherwise own the whole axis and squash every subject to t=0.02. A subject outside p10-p90 gives t&lt;0 or t&gt;1, which is a real reading and the most quotable row on the plate — the renderer clamps the dot to the end tick and adds a chevron past it. Do not clamp t here.</t>
        </is>
      </c>
    </row>
    <row r="77">
      <c r="A77" t="inlineStr">
        <is>
          <t>Column E ('Higher is better/worse') is for the CAPTION, not the rail. The rail is not inverted for expensive-is-bad metrics and nothing on the plate is drawn in up or down: cheap is not up.</t>
        </is>
      </c>
    </row>
  </sheetData>
  <mergeCells count="2">
    <mergeCell ref="A2:K2"/>
    <mergeCell ref="A1:K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39"/>
  <sheetViews>
    <sheetView zoomScale="55" zoomScaleNormal="55" workbookViewId="0">
      <selection activeCell="F5" sqref="F5"/>
    </sheetView>
  </sheetViews>
  <sheetFormatPr baseColWidth="8" defaultRowHeight="15"/>
  <cols>
    <col width="14" customWidth="1" style="90" min="1" max="1"/>
    <col width="80" customWidth="1" style="90" min="2" max="2"/>
    <col width="22" customWidth="1" style="90" min="3" max="3"/>
    <col width="40" customWidth="1" style="90" min="4" max="4"/>
    <col width="4" customWidth="1" style="90" min="5" max="5"/>
  </cols>
  <sheetData>
    <row r="1" ht="18" customHeight="1" s="90">
      <c r="A1" s="35" t="inlineStr">
        <is>
          <t>DENNIS — recent news &amp; key developments (auto; Capital IQ)</t>
        </is>
      </c>
    </row>
    <row r="2">
      <c r="A2" s="92" t="inlineStr">
        <is>
          <t>Capital IQ IQ_NEWS — latest headlines (Date / Headline / Source / URL). Each column spills down from row 6 when the add-in refreshes. Feeds the /headline shorts flow.</t>
        </is>
      </c>
    </row>
    <row r="3">
      <c r="A3" s="55" t="inlineStr">
        <is>
          <t>Ticker →</t>
        </is>
      </c>
      <c r="B3" s="56">
        <f>Snapshot!C3</f>
        <v/>
      </c>
    </row>
    <row r="5">
      <c r="A5" s="81" t="inlineStr">
        <is>
          <t>Date</t>
        </is>
      </c>
      <c r="B5" s="81" t="inlineStr">
        <is>
          <t>Headline</t>
        </is>
      </c>
      <c r="C5" s="81" t="inlineStr">
        <is>
          <t>Source</t>
        </is>
      </c>
      <c r="D5" s="81" t="inlineStr">
        <is>
          <t>URL</t>
        </is>
      </c>
      <c r="E5" s="57" t="n"/>
      <c r="F5" s="92" t="inlineStr">
        <is>
          <t>Pattern: CIQRANGE(ticker, "IQ_NEWS", 1, N, , , , , "&lt;data item&gt;") — items: News Headline/Date/Source/URL/Time</t>
        </is>
      </c>
    </row>
    <row r="6">
      <c r="A6" s="82">
        <f>_xll.ciqfunctions.udf.CIQRANGE(Snapshot!C3,"IQ_NEWS",1,25,,,,,"News Date")</f>
        <v/>
      </c>
      <c r="B6" s="83">
        <f>_xll.ciqfunctions.udf.CIQRANGE(Snapshot!C3,"IQ_NEWS",1,25,,,,,"News Headline")</f>
        <v/>
      </c>
      <c r="C6" s="83">
        <f>_xll.ciqfunctions.udf.CIQRANGE(Snapshot!C3,"IQ_NEWS",1,25,,,,,"News Source")</f>
        <v/>
      </c>
      <c r="D6" s="83">
        <f>_xll.ciqfunctions.udf.CIQRANGE(Snapshot!C3,"IQ_NEWS",1,25,,,,,"News URL")</f>
        <v/>
      </c>
      <c r="E6" s="92" t="n"/>
    </row>
    <row r="7">
      <c r="A7" s="58" t="n"/>
      <c r="B7" s="59" t="n"/>
      <c r="C7" s="59" t="n"/>
      <c r="D7" s="55" t="n"/>
    </row>
    <row r="8">
      <c r="A8" s="58" t="n"/>
      <c r="B8" s="59" t="n"/>
      <c r="C8" s="59" t="n"/>
      <c r="D8" s="55" t="n"/>
    </row>
    <row r="9">
      <c r="A9" s="58" t="n"/>
      <c r="B9" s="59" t="n"/>
      <c r="C9" s="59" t="n"/>
      <c r="D9" s="55" t="n"/>
    </row>
    <row r="10">
      <c r="A10" s="58" t="n"/>
      <c r="B10" s="59" t="n"/>
      <c r="C10" s="59" t="n"/>
      <c r="D10" s="55" t="n"/>
    </row>
    <row r="11">
      <c r="A11" s="58" t="n"/>
      <c r="B11" s="59" t="n"/>
      <c r="C11" s="59" t="n"/>
      <c r="D11" s="55" t="n"/>
    </row>
    <row r="12">
      <c r="A12" s="58" t="n"/>
      <c r="B12" s="59" t="n"/>
      <c r="C12" s="59" t="n"/>
      <c r="D12" s="55" t="n"/>
    </row>
    <row r="13">
      <c r="A13" s="58" t="n"/>
      <c r="B13" s="59" t="n"/>
      <c r="C13" s="59" t="n"/>
      <c r="D13" s="55" t="n"/>
    </row>
    <row r="14">
      <c r="A14" s="58" t="n"/>
      <c r="B14" s="59" t="n"/>
      <c r="C14" s="59" t="n"/>
      <c r="D14" s="55" t="n"/>
    </row>
    <row r="15">
      <c r="A15" s="58" t="n"/>
      <c r="B15" s="59" t="n"/>
      <c r="C15" s="59" t="n"/>
      <c r="D15" s="55" t="n"/>
    </row>
    <row r="16">
      <c r="A16" s="58" t="n"/>
      <c r="B16" s="59" t="n"/>
      <c r="C16" s="59" t="n"/>
      <c r="D16" s="55" t="n"/>
    </row>
    <row r="17">
      <c r="A17" s="58" t="n"/>
      <c r="B17" s="59" t="n"/>
      <c r="C17" s="59" t="n"/>
      <c r="D17" s="55" t="n"/>
    </row>
    <row r="18">
      <c r="A18" s="58" t="n"/>
      <c r="B18" s="59" t="n"/>
      <c r="C18" s="59" t="n"/>
      <c r="D18" s="55" t="n"/>
    </row>
    <row r="19">
      <c r="A19" s="58" t="n"/>
      <c r="B19" s="59" t="n"/>
      <c r="C19" s="59" t="n"/>
      <c r="D19" s="55" t="n"/>
    </row>
    <row r="20">
      <c r="A20" s="58" t="n"/>
      <c r="B20" s="59" t="n"/>
      <c r="C20" s="59" t="n"/>
      <c r="D20" s="55" t="n"/>
    </row>
    <row r="21">
      <c r="A21" s="58" t="n"/>
      <c r="B21" s="59" t="n"/>
      <c r="C21" s="59" t="n"/>
      <c r="D21" s="55" t="n"/>
    </row>
    <row r="22">
      <c r="A22" s="58" t="n"/>
      <c r="B22" s="59" t="n"/>
      <c r="C22" s="59" t="n"/>
      <c r="D22" s="55" t="n"/>
    </row>
    <row r="23">
      <c r="A23" s="58" t="n"/>
      <c r="B23" s="59" t="n"/>
      <c r="C23" s="59" t="n"/>
      <c r="D23" s="55" t="n"/>
    </row>
    <row r="24">
      <c r="A24" s="58" t="n"/>
      <c r="B24" s="59" t="n"/>
      <c r="C24" s="59" t="n"/>
      <c r="D24" s="55" t="n"/>
    </row>
    <row r="25">
      <c r="A25" s="58" t="n"/>
      <c r="B25" s="59" t="n"/>
      <c r="C25" s="59" t="n"/>
      <c r="D25" s="55" t="n"/>
    </row>
    <row r="26">
      <c r="A26" s="58" t="n"/>
      <c r="B26" s="59" t="n"/>
      <c r="C26" s="59" t="n"/>
      <c r="D26" s="55" t="n"/>
    </row>
    <row r="27">
      <c r="A27" s="58" t="n"/>
      <c r="B27" s="59" t="n"/>
      <c r="C27" s="59" t="n"/>
      <c r="D27" s="55" t="n"/>
    </row>
    <row r="28">
      <c r="A28" s="58" t="n"/>
      <c r="B28" s="59" t="n"/>
      <c r="C28" s="59" t="n"/>
      <c r="D28" s="55" t="n"/>
    </row>
    <row r="29">
      <c r="A29" s="58" t="n"/>
      <c r="B29" s="59" t="n"/>
      <c r="C29" s="59" t="n"/>
      <c r="D29" s="55" t="n"/>
    </row>
    <row r="30">
      <c r="A30" s="58" t="n"/>
      <c r="B30" s="59" t="n"/>
      <c r="C30" s="59" t="n"/>
      <c r="D30" s="55" t="n"/>
    </row>
    <row r="31">
      <c r="A31" s="58" t="n"/>
      <c r="B31" s="59" t="n"/>
      <c r="C31" s="59" t="n"/>
      <c r="D31" s="55" t="n"/>
    </row>
    <row r="32">
      <c r="A32" s="58" t="n"/>
      <c r="B32" s="59" t="n"/>
      <c r="C32" s="59" t="n"/>
      <c r="D32" s="55" t="n"/>
    </row>
    <row r="33">
      <c r="A33" s="58" t="n"/>
      <c r="B33" s="59" t="n"/>
      <c r="C33" s="59" t="n"/>
      <c r="D33" s="55" t="n"/>
    </row>
    <row r="34">
      <c r="A34" s="58" t="n"/>
      <c r="B34" s="59" t="n"/>
      <c r="C34" s="59" t="n"/>
      <c r="D34" s="55" t="n"/>
    </row>
    <row r="35">
      <c r="A35" s="58" t="n"/>
      <c r="B35" s="59" t="n"/>
      <c r="C35" s="59" t="n"/>
      <c r="D35" s="55" t="n"/>
    </row>
    <row r="38">
      <c r="A38" s="60" t="n"/>
    </row>
    <row r="39">
      <c r="A39" s="59" t="n"/>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27"/>
  <sheetViews>
    <sheetView workbookViewId="0">
      <selection activeCell="B5" sqref="B5"/>
    </sheetView>
  </sheetViews>
  <sheetFormatPr baseColWidth="8" defaultRowHeight="15"/>
  <cols>
    <col width="30" customWidth="1" style="90" min="1" max="1"/>
    <col width="22" customWidth="1" style="90" min="2" max="2"/>
  </cols>
  <sheetData>
    <row r="1" ht="24" customHeight="1" s="90">
      <c r="A1" s="91" t="inlineStr">
        <is>
          <t>DENNIS — one-glance summary (feeds the numbers sheet)</t>
        </is>
      </c>
    </row>
    <row r="2">
      <c r="A2" s="89" t="inlineStr">
        <is>
          <t>Auto from the other sheets. Flags are rough heuristics, and blank when the figure behind them is.</t>
        </is>
      </c>
    </row>
    <row r="4">
      <c r="A4" s="5" t="inlineStr">
        <is>
          <t>Company</t>
        </is>
      </c>
      <c r="B4" s="32">
        <f>Snapshot!D7</f>
        <v/>
      </c>
    </row>
    <row r="5">
      <c r="A5" s="5" t="inlineStr">
        <is>
          <t>Price</t>
        </is>
      </c>
      <c r="B5" s="29">
        <f>Snapshot!D15</f>
        <v/>
      </c>
    </row>
    <row r="6">
      <c r="A6" s="5" t="inlineStr">
        <is>
          <t>Market cap</t>
        </is>
      </c>
      <c r="B6" s="33">
        <f>Snapshot!D16</f>
        <v/>
      </c>
    </row>
    <row r="7">
      <c r="A7" s="5" t="inlineStr">
        <is>
          <t>% from 52w high</t>
        </is>
      </c>
      <c r="B7" s="50">
        <f>Snapshot!D24</f>
        <v/>
      </c>
      <c r="C7" s="38" t="n"/>
    </row>
    <row r="8">
      <c r="A8" s="5" t="inlineStr">
        <is>
          <t>Revenue (LTM)</t>
        </is>
      </c>
      <c r="B8" s="33">
        <f>History!H5</f>
        <v/>
      </c>
      <c r="M8" s="38" t="n"/>
    </row>
    <row r="9">
      <c r="A9" s="5" t="inlineStr">
        <is>
          <t>Revenue 4y CAGR</t>
        </is>
      </c>
      <c r="B9" s="30">
        <f>History!I5</f>
        <v/>
      </c>
      <c r="L9" s="38" t="n"/>
    </row>
    <row r="10">
      <c r="A10" s="5" t="inlineStr">
        <is>
          <t>Gross margin (LTM)</t>
        </is>
      </c>
      <c r="B10" s="30">
        <f>History!H7</f>
        <v/>
      </c>
    </row>
    <row r="11">
      <c r="A11" s="5" t="inlineStr">
        <is>
          <t>Operating margin (LTM)</t>
        </is>
      </c>
      <c r="B11" s="30">
        <f>History!H9</f>
        <v/>
      </c>
    </row>
    <row r="12">
      <c r="A12" s="5" t="inlineStr">
        <is>
          <t>Net margin (LTM)</t>
        </is>
      </c>
      <c r="B12" s="30">
        <f>History!H12</f>
        <v/>
      </c>
    </row>
    <row r="13">
      <c r="A13" s="5" t="inlineStr">
        <is>
          <t>FCF (LTM)</t>
        </is>
      </c>
      <c r="B13" s="33">
        <f>History!H15</f>
        <v/>
      </c>
    </row>
    <row r="14">
      <c r="A14" s="5" t="inlineStr">
        <is>
          <t>FCF margin (LTM)</t>
        </is>
      </c>
      <c r="B14" s="30">
        <f>History!H16</f>
        <v/>
      </c>
    </row>
    <row r="15">
      <c r="A15" s="5" t="inlineStr">
        <is>
          <t>FCF yield</t>
        </is>
      </c>
      <c r="B15" s="30">
        <f>Snapshot!D35</f>
        <v/>
      </c>
      <c r="C15" s="38" t="n"/>
    </row>
    <row r="16">
      <c r="A16" s="5" t="inlineStr">
        <is>
          <t>Net debt / EBITDA</t>
        </is>
      </c>
      <c r="B16" s="34">
        <f>Snapshot!D42</f>
        <v/>
      </c>
      <c r="C16" s="38" t="n"/>
    </row>
    <row r="17">
      <c r="A17" s="5" t="inlineStr">
        <is>
          <t>ROIC (LTM)</t>
        </is>
      </c>
      <c r="B17" s="30">
        <f>History!H31</f>
        <v/>
      </c>
    </row>
    <row r="18">
      <c r="A18" s="5" t="inlineStr">
        <is>
          <t>Share count 4y CAGR</t>
        </is>
      </c>
      <c r="B18" s="30">
        <f>History!I33</f>
        <v/>
      </c>
    </row>
    <row r="19">
      <c r="A19" s="5" t="inlineStr">
        <is>
          <t>P/E (TTM)</t>
        </is>
      </c>
      <c r="B19" s="34">
        <f>Snapshot!D25</f>
        <v/>
      </c>
      <c r="C19" s="38" t="n"/>
    </row>
    <row r="20">
      <c r="A20" s="5" t="inlineStr">
        <is>
          <t>EV/EBITDA</t>
        </is>
      </c>
      <c r="B20" s="34">
        <f>Snapshot!D28</f>
        <v/>
      </c>
      <c r="C20" s="38" t="n"/>
    </row>
    <row r="22">
      <c r="A22" s="24" t="inlineStr">
        <is>
          <t>Quick flags</t>
        </is>
      </c>
      <c r="B22" s="25" t="n"/>
    </row>
    <row r="23">
      <c r="A23" s="5" t="inlineStr">
        <is>
          <t>Profitable? (LTM NI&gt;0)</t>
        </is>
      </c>
      <c r="B23" s="32">
        <f>IF(ISNUMBER(History!H11),IF(History!H11&gt;0,"yes","no"),"")</f>
        <v/>
      </c>
    </row>
    <row r="24">
      <c r="A24" s="5" t="inlineStr">
        <is>
          <t>FCF positive? (LTM)</t>
        </is>
      </c>
      <c r="B24" s="32">
        <f>IF(ISNUMBER(History!H15),IF(History!H15&gt;0,"yes","no"),"")</f>
        <v/>
      </c>
    </row>
    <row r="25">
      <c r="A25" s="5" t="inlineStr">
        <is>
          <t>Growing? (rev CAGR&gt;0)</t>
        </is>
      </c>
      <c r="B25" s="32">
        <f>IF(ISNUMBER(History!I5),IF(History!I5&gt;0,"yes","no"),"")</f>
        <v/>
      </c>
    </row>
    <row r="26">
      <c r="A26" s="5" t="inlineStr">
        <is>
          <t>Diluting? (share CAGR&gt;1%)</t>
        </is>
      </c>
      <c r="B26" s="32">
        <f>IF(ISNUMBER(History!I33),IF(History!I33&gt;1,"yes","no"),"")</f>
        <v/>
      </c>
    </row>
    <row r="27">
      <c r="A27" s="5" t="inlineStr">
        <is>
          <t>Over-levered? (ND/EBITDA&gt;3x)</t>
        </is>
      </c>
      <c r="B27" s="32">
        <f>IF(ISNUMBER(Snapshot!D42),IF(Snapshot!D42&gt;3,"yes","no"),IF(AND(ISNUMBER(History!H10),N(History!H10)&lt;=0,N(Snapshot!D41)&gt;0),"yes",""))</f>
        <v/>
      </c>
    </row>
  </sheetData>
  <mergeCells count="2">
    <mergeCell ref="A2:B2"/>
    <mergeCell ref="A1:B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24"/>
  <sheetViews>
    <sheetView workbookViewId="0">
      <selection activeCell="A6" sqref="A6"/>
    </sheetView>
  </sheetViews>
  <sheetFormatPr baseColWidth="8" defaultRowHeight="15"/>
  <cols>
    <col width="116" customWidth="1" style="90" min="1" max="1"/>
  </cols>
  <sheetData>
    <row r="1" ht="18" customHeight="1" s="90">
      <c r="A1" s="35" t="inlineStr">
        <is>
          <t>DENNIS — data template v3.2</t>
        </is>
      </c>
    </row>
    <row r="2">
      <c r="A2" s="36" t="inlineStr"/>
    </row>
    <row r="3">
      <c r="A3" s="37" t="inlineStr">
        <is>
          <t>How to fill it</t>
        </is>
      </c>
    </row>
    <row r="4">
      <c r="A4" s="36" t="inlineStr">
        <is>
          <t xml:space="preserve">  1. Type the ticker into Snapshot!C3 (plain ticker, e.g. BA). Everything else follows it.</t>
        </is>
      </c>
    </row>
    <row r="5">
      <c r="A5" s="36" t="inlineStr">
        <is>
          <t xml:space="preserve">  2. Excel needs the Capital IQ plug-in signed in. The Peers sheet also uses the LSEG (Refinitiv) add-in;</t>
        </is>
      </c>
    </row>
    <row r="6">
      <c r="A6" s="36" t="inlineStr">
        <is>
          <t xml:space="preserve">     without it Peers stays empty and the video simply has no peer comparison.</t>
        </is>
      </c>
    </row>
    <row r="7">
      <c r="A7" s="36" t="inlineStr">
        <is>
          <t xml:space="preserve">  3. Refresh (Capital IQ ▸ Refresh Workbook) and wait until no cell says 'Requesting data'.</t>
        </is>
      </c>
    </row>
    <row r="8">
      <c r="A8" s="36" t="inlineStr">
        <is>
          <t xml:space="preserve">  4. Save, and upload the file on the bot's page for that video (it is saved as dennis_data.xlsx).</t>
        </is>
      </c>
    </row>
    <row r="9">
      <c r="A9" s="37" t="inlineStr"/>
    </row>
    <row r="10">
      <c r="A10" s="36" t="inlineStr">
        <is>
          <t>What the bot reads</t>
        </is>
      </c>
    </row>
    <row r="11">
      <c r="A11" s="36" t="inlineStr">
        <is>
          <t xml:space="preserve">  Snapshot, History, Quarters, Valuation, Peers, News and Dashboard, each by name. Don't rename</t>
        </is>
      </c>
    </row>
    <row r="12">
      <c r="A12" s="36" t="inlineStr">
        <is>
          <t xml:space="preserve">  sheets or the field_key cells in column A/B. Figures are in millions where the column says MM.</t>
        </is>
      </c>
    </row>
    <row r="13">
      <c r="A13" s="37" t="inlineStr">
        <is>
          <t xml:space="preserve">  The quarter columns are named from Quarters rows 27-29 (fiscal year, fiscal quarter, period end).</t>
        </is>
      </c>
    </row>
    <row r="14">
      <c r="A14" s="36" t="inlineStr">
        <is>
          <t xml:space="preserve">  If all three fail, the bot calls the columns 'the latest quarter', 'the prior quarter' and so on.</t>
        </is>
      </c>
    </row>
    <row r="15">
      <c r="A15" s="36" t="inlineStr"/>
    </row>
    <row r="16">
      <c r="A16" s="36" t="inlineStr">
        <is>
          <t>Cells left blank on purpose</t>
        </is>
      </c>
    </row>
    <row r="17">
      <c r="A17" t="inlineStr">
        <is>
          <t xml:space="preserve">  A growth rate (CAGR) from or to a loss, ROE on negative equity, a leverage ratio on negative</t>
        </is>
      </c>
    </row>
    <row r="18">
      <c r="A18" s="1" t="inlineStr">
        <is>
          <t xml:space="preserve">  EBITDA, P/FCF and EV/FCF on negative cash flow, a reverse-DCF implied growth on negative cash</t>
        </is>
      </c>
    </row>
    <row r="19">
      <c r="A19" s="72" t="inlineStr">
        <is>
          <t xml:space="preserve">  flow, and a bear/base/bull price on a loss per share. Each of those numbers means nothing,</t>
        </is>
      </c>
    </row>
    <row r="20">
      <c r="A20" s="72" t="inlineStr">
        <is>
          <t xml:space="preserve">  and a writer would read it as a fact.</t>
        </is>
      </c>
    </row>
    <row r="21">
      <c r="A21" s="72" t="inlineStr"/>
    </row>
    <row r="22">
      <c r="A22" s="72" t="inlineStr">
        <is>
          <t>Notes</t>
        </is>
      </c>
    </row>
    <row r="23">
      <c r="A23" s="72" t="inlineStr">
        <is>
          <t xml:space="preserve">  #NAME? means an add-in is not loaded in this Excel. The bot treats such a cell as missing.</t>
        </is>
      </c>
    </row>
    <row r="24">
      <c r="A24" t="inlineStr">
        <is>
          <t xml:space="preserve">  On screen the videos never name the data vendor.</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43"/>
  <sheetViews>
    <sheetView workbookViewId="0">
      <selection activeCell="A1" sqref="A1"/>
    </sheetView>
  </sheetViews>
  <sheetFormatPr baseColWidth="8" defaultRowHeight="15"/>
  <cols>
    <col width="30" customWidth="1" style="90" min="1" max="1"/>
    <col width="10" customWidth="1" style="90" min="2" max="2"/>
  </cols>
  <sheetData>
    <row r="1">
      <c r="A1" s="61" t="inlineStr">
        <is>
          <t>keyword (found in Capital IQ exchange name)</t>
        </is>
      </c>
      <c r="B1" s="61" t="inlineStr">
        <is>
          <t>RIC suffix</t>
        </is>
      </c>
      <c r="D1" s="61" t="inlineStr">
        <is>
          <t>derived suffix</t>
        </is>
      </c>
      <c r="E1" s="55">
        <f>IFERROR(LOOKUP(2,1/ISNUMBER(SEARCH($A$2:$A$43,Snapshot!$D$9)),$B$2:$B$43),".O")</f>
        <v/>
      </c>
    </row>
    <row r="2">
      <c r="A2" s="55" t="inlineStr">
        <is>
          <t>New York</t>
        </is>
      </c>
      <c r="B2" s="55" t="inlineStr">
        <is>
          <t>.N</t>
        </is>
      </c>
    </row>
    <row r="3">
      <c r="A3" s="55" t="inlineStr">
        <is>
          <t>NYSE</t>
        </is>
      </c>
      <c r="B3" s="55" t="inlineStr">
        <is>
          <t>.N</t>
        </is>
      </c>
    </row>
    <row r="4">
      <c r="A4" s="55" t="inlineStr">
        <is>
          <t>Nasdaq</t>
        </is>
      </c>
      <c r="B4" s="55" t="inlineStr">
        <is>
          <t>.O</t>
        </is>
      </c>
    </row>
    <row r="5">
      <c r="A5" s="55" t="inlineStr">
        <is>
          <t>London</t>
        </is>
      </c>
      <c r="B5" s="55" t="inlineStr">
        <is>
          <t>.L</t>
        </is>
      </c>
    </row>
    <row r="6">
      <c r="A6" s="55" t="inlineStr">
        <is>
          <t>Toronto</t>
        </is>
      </c>
      <c r="B6" s="55" t="inlineStr">
        <is>
          <t>.TO</t>
        </is>
      </c>
    </row>
    <row r="7">
      <c r="A7" s="55" t="inlineStr">
        <is>
          <t>Australian</t>
        </is>
      </c>
      <c r="B7" s="55" t="inlineStr">
        <is>
          <t>.AX</t>
        </is>
      </c>
    </row>
    <row r="8">
      <c r="A8" s="55" t="inlineStr">
        <is>
          <t>ASX</t>
        </is>
      </c>
      <c r="B8" s="55" t="inlineStr">
        <is>
          <t>.AX</t>
        </is>
      </c>
    </row>
    <row r="9">
      <c r="A9" s="55" t="inlineStr">
        <is>
          <t>Hong Kong</t>
        </is>
      </c>
      <c r="B9" s="55" t="inlineStr">
        <is>
          <t>.HK</t>
        </is>
      </c>
    </row>
    <row r="10">
      <c r="A10" s="55" t="inlineStr">
        <is>
          <t>Tokyo</t>
        </is>
      </c>
      <c r="B10" s="55" t="inlineStr">
        <is>
          <t>.T</t>
        </is>
      </c>
    </row>
    <row r="11">
      <c r="A11" s="55" t="inlineStr">
        <is>
          <t>Frankfurt</t>
        </is>
      </c>
      <c r="B11" s="55" t="inlineStr">
        <is>
          <t>.F</t>
        </is>
      </c>
    </row>
    <row r="12">
      <c r="A12" s="55" t="inlineStr">
        <is>
          <t>Xetra</t>
        </is>
      </c>
      <c r="B12" s="55" t="inlineStr">
        <is>
          <t>.DE</t>
        </is>
      </c>
    </row>
    <row r="13">
      <c r="A13" s="55" t="inlineStr">
        <is>
          <t>Deutsche</t>
        </is>
      </c>
      <c r="B13" s="55" t="inlineStr">
        <is>
          <t>.DE</t>
        </is>
      </c>
    </row>
    <row r="14">
      <c r="A14" s="55" t="inlineStr">
        <is>
          <t>Paris</t>
        </is>
      </c>
      <c r="B14" s="55" t="inlineStr">
        <is>
          <t>.PA</t>
        </is>
      </c>
    </row>
    <row r="15">
      <c r="A15" s="55" t="inlineStr">
        <is>
          <t>Amsterdam</t>
        </is>
      </c>
      <c r="B15" s="55" t="inlineStr">
        <is>
          <t>.AS</t>
        </is>
      </c>
    </row>
    <row r="16">
      <c r="A16" s="55" t="inlineStr">
        <is>
          <t>Brussels</t>
        </is>
      </c>
      <c r="B16" s="55" t="inlineStr">
        <is>
          <t>.BR</t>
        </is>
      </c>
    </row>
    <row r="17">
      <c r="A17" s="55" t="inlineStr">
        <is>
          <t>Lisbon</t>
        </is>
      </c>
      <c r="B17" s="55" t="inlineStr">
        <is>
          <t>.LS</t>
        </is>
      </c>
    </row>
    <row r="18">
      <c r="A18" s="55" t="inlineStr">
        <is>
          <t>Swiss</t>
        </is>
      </c>
      <c r="B18" s="55" t="inlineStr">
        <is>
          <t>.S</t>
        </is>
      </c>
    </row>
    <row r="19">
      <c r="A19" s="55" t="inlineStr">
        <is>
          <t>SIX</t>
        </is>
      </c>
      <c r="B19" s="55" t="inlineStr">
        <is>
          <t>.S</t>
        </is>
      </c>
    </row>
    <row r="20">
      <c r="A20" s="55" t="inlineStr">
        <is>
          <t>Milan</t>
        </is>
      </c>
      <c r="B20" s="55" t="inlineStr">
        <is>
          <t>.MI</t>
        </is>
      </c>
    </row>
    <row r="21">
      <c r="A21" s="55" t="inlineStr">
        <is>
          <t>Borsa Italiana</t>
        </is>
      </c>
      <c r="B21" s="55" t="inlineStr">
        <is>
          <t>.MI</t>
        </is>
      </c>
    </row>
    <row r="22">
      <c r="A22" s="55" t="inlineStr">
        <is>
          <t>Madrid</t>
        </is>
      </c>
      <c r="B22" s="55" t="inlineStr">
        <is>
          <t>.MC</t>
        </is>
      </c>
    </row>
    <row r="23">
      <c r="A23" s="55" t="inlineStr">
        <is>
          <t>Stockholm</t>
        </is>
      </c>
      <c r="B23" s="55" t="inlineStr">
        <is>
          <t>.ST</t>
        </is>
      </c>
    </row>
    <row r="24">
      <c r="A24" s="55" t="inlineStr">
        <is>
          <t>Oslo</t>
        </is>
      </c>
      <c r="B24" s="55" t="inlineStr">
        <is>
          <t>.OL</t>
        </is>
      </c>
    </row>
    <row r="25">
      <c r="A25" s="55" t="inlineStr">
        <is>
          <t>Copenhagen</t>
        </is>
      </c>
      <c r="B25" s="55" t="inlineStr">
        <is>
          <t>.CO</t>
        </is>
      </c>
    </row>
    <row r="26">
      <c r="A26" s="55" t="inlineStr">
        <is>
          <t>Helsinki</t>
        </is>
      </c>
      <c r="B26" s="55" t="inlineStr">
        <is>
          <t>.HE</t>
        </is>
      </c>
    </row>
    <row r="27">
      <c r="A27" s="55" t="inlineStr">
        <is>
          <t>Shanghai</t>
        </is>
      </c>
      <c r="B27" s="55" t="inlineStr">
        <is>
          <t>.SS</t>
        </is>
      </c>
    </row>
    <row r="28">
      <c r="A28" s="55" t="inlineStr">
        <is>
          <t>Shenzhen</t>
        </is>
      </c>
      <c r="B28" s="55" t="inlineStr">
        <is>
          <t>.SZ</t>
        </is>
      </c>
    </row>
    <row r="29">
      <c r="A29" s="55" t="inlineStr">
        <is>
          <t>Korea</t>
        </is>
      </c>
      <c r="B29" s="55" t="inlineStr">
        <is>
          <t>.KS</t>
        </is>
      </c>
    </row>
    <row r="30">
      <c r="A30" s="55" t="inlineStr">
        <is>
          <t>KRX</t>
        </is>
      </c>
      <c r="B30" s="55" t="inlineStr">
        <is>
          <t>.KS</t>
        </is>
      </c>
    </row>
    <row r="31">
      <c r="A31" s="55" t="inlineStr">
        <is>
          <t>Taiwan</t>
        </is>
      </c>
      <c r="B31" s="55" t="inlineStr">
        <is>
          <t>.TW</t>
        </is>
      </c>
    </row>
    <row r="32">
      <c r="A32" s="55" t="inlineStr">
        <is>
          <t>National Stock Exchange</t>
        </is>
      </c>
      <c r="B32" s="55" t="inlineStr">
        <is>
          <t>.NS</t>
        </is>
      </c>
    </row>
    <row r="33">
      <c r="A33" s="55" t="inlineStr">
        <is>
          <t>Bombay</t>
        </is>
      </c>
      <c r="B33" s="55" t="inlineStr">
        <is>
          <t>.BO</t>
        </is>
      </c>
    </row>
    <row r="34">
      <c r="A34" s="55" t="inlineStr">
        <is>
          <t>BSE</t>
        </is>
      </c>
      <c r="B34" s="55" t="inlineStr">
        <is>
          <t>.BO</t>
        </is>
      </c>
    </row>
    <row r="35">
      <c r="A35" s="55" t="inlineStr">
        <is>
          <t>Singapore</t>
        </is>
      </c>
      <c r="B35" s="55" t="inlineStr">
        <is>
          <t>.SI</t>
        </is>
      </c>
    </row>
    <row r="36">
      <c r="A36" s="55" t="inlineStr">
        <is>
          <t>Sao Paulo</t>
        </is>
      </c>
      <c r="B36" s="55" t="inlineStr">
        <is>
          <t>.SA</t>
        </is>
      </c>
    </row>
    <row r="37">
      <c r="A37" s="55" t="inlineStr">
        <is>
          <t>Bovespa</t>
        </is>
      </c>
      <c r="B37" s="55" t="inlineStr">
        <is>
          <t>.SA</t>
        </is>
      </c>
    </row>
    <row r="38">
      <c r="A38" s="55" t="inlineStr">
        <is>
          <t>Mexican</t>
        </is>
      </c>
      <c r="B38" s="55" t="inlineStr">
        <is>
          <t>.MX</t>
        </is>
      </c>
    </row>
    <row r="39">
      <c r="A39" s="55" t="inlineStr">
        <is>
          <t>Johannesburg</t>
        </is>
      </c>
      <c r="B39" s="55" t="inlineStr">
        <is>
          <t>.J</t>
        </is>
      </c>
    </row>
    <row r="40">
      <c r="A40" s="55" t="inlineStr">
        <is>
          <t>NYSE American</t>
        </is>
      </c>
      <c r="B40" s="55" t="inlineStr">
        <is>
          <t>.A</t>
        </is>
      </c>
    </row>
    <row r="41">
      <c r="A41" s="55" t="inlineStr">
        <is>
          <t>AMEX</t>
        </is>
      </c>
      <c r="B41" s="55" t="inlineStr">
        <is>
          <t>.A</t>
        </is>
      </c>
    </row>
    <row r="42">
      <c r="A42" s="55" t="inlineStr">
        <is>
          <t>TSX Venture</t>
        </is>
      </c>
      <c r="B42" s="55" t="inlineStr">
        <is>
          <t>.V</t>
        </is>
      </c>
    </row>
    <row r="43">
      <c r="A43" s="55" t="inlineStr">
        <is>
          <t>Venture</t>
        </is>
      </c>
      <c r="B43" s="55" t="inlineStr">
        <is>
          <t>.V</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2026-07-16T15:39:47Z</dcterms:created>
  <dcterms:modified xmlns:dcterms="http://purl.org/dc/terms/" xmlns:xsi="http://www.w3.org/2001/XMLSchema-instance" xsi:type="dcterms:W3CDTF">2026-10-30T18:49:11Z</dcterms:modified>
  <cp:lastModifiedBy>Serban B Valentin-Daniel</cp:lastModifiedBy>
</cp:coreProperties>
</file>

<file path=docProps/custom.xml><?xml version="1.0" encoding="utf-8"?>
<Properties xmlns="http://schemas.openxmlformats.org/officeDocument/2006/custom-properties">
  <property name="PowerlinkCOMAddIn.COMAddIn.WebAddinBridge.Options" fmtid="{D5CDD505-2E9C-101B-9397-08002B2CF9AE}" pid="2">
    <vt:lpwstr xmlns:vt="http://schemas.openxmlformats.org/officeDocument/2006/docPropsVTypes">{"port":50160,"version":"1.26.718"}</vt:lpwstr>
  </property>
</Properties>
</file>