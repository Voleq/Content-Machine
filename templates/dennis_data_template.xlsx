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volig\Desktop\memes\wip\"/>
    </mc:Choice>
  </mc:AlternateContent>
  <xr:revisionPtr revIDLastSave="0" documentId="13_ncr:1_{F230E15C-F023-484A-BED4-81719FDE9A26}" xr6:coauthVersionLast="47" xr6:coauthVersionMax="47" xr10:uidLastSave="{00000000-0000-0000-0000-000000000000}"/>
  <bookViews>
    <workbookView xWindow="-120" yWindow="-120" windowWidth="29040" windowHeight="15720" firstSheet="1" activeTab="6" xr2:uid="{00000000-000D-0000-FFFF-FFFF00000000}"/>
  </bookViews>
  <sheets>
    <sheet name="_CIQHiddenCacheSheet" sheetId="20" state="veryHidden" r:id="rId1"/>
    <sheet name="Snapshot" sheetId="1" r:id="rId2"/>
    <sheet name="History" sheetId="2" r:id="rId3"/>
    <sheet name="Valuation" sheetId="4" r:id="rId4"/>
    <sheet name="ZDdiODliMGYtNjhhNC00OT" sheetId="10" state="veryHidden" r:id="rId5"/>
    <sheet name="Peers" sheetId="5" r:id="rId6"/>
    <sheet name="News" sheetId="6" r:id="rId7"/>
    <sheet name="Dashboard" sheetId="7" r:id="rId8"/>
    <sheet name="Instructions" sheetId="8" r:id="rId9"/>
    <sheet name="_RICMap" sheetId="9" state="hidden" r:id="rId10"/>
  </sheets>
  <definedNames>
    <definedName name="CIQWBGuid" hidden="1">"2d1b7283-9e99-40aa-9cc6-e03a75ba6144"</definedName>
    <definedName name="CIQWBInfo" hidden="1">"{ ""CIQVersion"":""9.53.6531.4508""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"07/16/2026 13:42:08"</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QRE51" hidden="1">Snapshot!$D$51:$D$66</definedName>
    <definedName name="IQRJ51" hidden="1">Snapshot!$I$51:$I$66</definedName>
    <definedName name="IQRK51" hidden="1">Snapshot!$J$51:$J$4050</definedName>
    <definedName name="IQRNewsA39" hidden="1">News!$A$40:$A$54</definedName>
    <definedName name="IQRNewsA6" hidden="1">News!$A$7:$A$31</definedName>
    <definedName name="IQRNewsB6" hidden="1">News!$B$7:$B$31</definedName>
    <definedName name="IQRNewsC6" hidden="1">News!$C$7:$C$31</definedName>
    <definedName name="IQRNewsD6" hidden="1">News!$D$7:$D$31</definedName>
    <definedName name="IQRP5" hidden="1">Peers!$P$6:$P$15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5" l="1"/>
  <c r="F33" i="2"/>
  <c r="G33" i="2"/>
  <c r="H33" i="2"/>
  <c r="H20" i="2"/>
  <c r="H10" i="2"/>
  <c r="G25" i="2"/>
  <c r="H25" i="2"/>
  <c r="C33" i="2"/>
  <c r="D33" i="2"/>
  <c r="E33" i="2"/>
  <c r="H24" i="2"/>
  <c r="C25" i="2"/>
  <c r="D25" i="2"/>
  <c r="E25" i="2"/>
  <c r="F25" i="2"/>
  <c r="C24" i="2"/>
  <c r="D24" i="2"/>
  <c r="E24" i="2"/>
  <c r="F24" i="2"/>
  <c r="G24" i="2"/>
  <c r="D22" i="2"/>
  <c r="E22" i="2"/>
  <c r="F22" i="2"/>
  <c r="G22" i="2"/>
  <c r="H22" i="2"/>
  <c r="E21" i="2"/>
  <c r="F21" i="2"/>
  <c r="G21" i="2"/>
  <c r="H21" i="2"/>
  <c r="C22" i="2"/>
  <c r="F20" i="2"/>
  <c r="G20" i="2"/>
  <c r="E19" i="2"/>
  <c r="C21" i="2"/>
  <c r="D21" i="2"/>
  <c r="H19" i="2"/>
  <c r="C20" i="2"/>
  <c r="F17" i="2"/>
  <c r="D20" i="2"/>
  <c r="E20" i="2"/>
  <c r="C19" i="2"/>
  <c r="D19" i="2"/>
  <c r="G14" i="2"/>
  <c r="F19" i="2"/>
  <c r="G19" i="2"/>
  <c r="D17" i="2"/>
  <c r="E17" i="2"/>
  <c r="H13" i="2"/>
  <c r="G17" i="2"/>
  <c r="H17" i="2"/>
  <c r="E14" i="2"/>
  <c r="F14" i="2"/>
  <c r="C13" i="2"/>
  <c r="H14" i="2"/>
  <c r="C17" i="2"/>
  <c r="F13" i="2"/>
  <c r="G13" i="2"/>
  <c r="D11" i="2"/>
  <c r="C14" i="2"/>
  <c r="D14" i="2"/>
  <c r="G11" i="2"/>
  <c r="H11" i="2"/>
  <c r="E10" i="2"/>
  <c r="D13" i="2"/>
  <c r="E13" i="2"/>
  <c r="C11" i="2"/>
  <c r="F8" i="2"/>
  <c r="G8" i="2"/>
  <c r="E11" i="2"/>
  <c r="F11" i="2"/>
  <c r="D10" i="2"/>
  <c r="G6" i="2"/>
  <c r="H6" i="2"/>
  <c r="F10" i="2"/>
  <c r="G10" i="2"/>
  <c r="E8" i="2"/>
  <c r="H5" i="2"/>
  <c r="C6" i="2"/>
  <c r="H8" i="2"/>
  <c r="C10" i="2"/>
  <c r="F6" i="2"/>
  <c r="C5" i="2"/>
  <c r="D5" i="2"/>
  <c r="C8" i="2"/>
  <c r="D8" i="2"/>
  <c r="E5" i="2"/>
  <c r="F5" i="2"/>
  <c r="G5" i="2"/>
  <c r="D6" i="2"/>
  <c r="E6" i="2"/>
  <c r="D44" i="1"/>
  <c r="D45" i="1"/>
  <c r="D46" i="1"/>
  <c r="D47" i="1"/>
  <c r="D43" i="1"/>
  <c r="D33" i="1"/>
  <c r="D25" i="1"/>
  <c r="D26" i="1"/>
  <c r="D49" i="1"/>
  <c r="D27" i="1"/>
  <c r="D20" i="1"/>
  <c r="D13" i="1"/>
  <c r="D7" i="1"/>
  <c r="D48" i="1"/>
  <c r="D9" i="1"/>
  <c r="D10" i="1"/>
  <c r="D11" i="1"/>
  <c r="D12" i="1"/>
  <c r="E26" i="1"/>
  <c r="B6" i="6"/>
  <c r="B7" i="6"/>
  <c r="B23" i="6"/>
  <c r="B8" i="6"/>
  <c r="B24" i="6"/>
  <c r="B9" i="6"/>
  <c r="B25" i="6"/>
  <c r="B26" i="6"/>
  <c r="B11" i="6"/>
  <c r="B27" i="6"/>
  <c r="B12" i="6"/>
  <c r="B28" i="6"/>
  <c r="B13" i="6"/>
  <c r="B29" i="6"/>
  <c r="B14" i="6"/>
  <c r="B15" i="6"/>
  <c r="B31" i="6"/>
  <c r="B16" i="6"/>
  <c r="B18" i="6"/>
  <c r="B20" i="6"/>
  <c r="B22" i="6"/>
  <c r="B10" i="6"/>
  <c r="B30" i="6"/>
  <c r="B17" i="6"/>
  <c r="B19" i="6"/>
  <c r="B21" i="6"/>
  <c r="D6" i="6"/>
  <c r="D7" i="6"/>
  <c r="D23" i="6"/>
  <c r="D8" i="6"/>
  <c r="D24" i="6"/>
  <c r="D25" i="6"/>
  <c r="D26" i="6"/>
  <c r="D11" i="6"/>
  <c r="D27" i="6"/>
  <c r="D13" i="6"/>
  <c r="D29" i="6"/>
  <c r="D14" i="6"/>
  <c r="D20" i="6"/>
  <c r="D21" i="6"/>
  <c r="D9" i="6"/>
  <c r="D12" i="6"/>
  <c r="D30" i="6"/>
  <c r="D31" i="6"/>
  <c r="D16" i="6"/>
  <c r="D18" i="6"/>
  <c r="D19" i="6"/>
  <c r="D22" i="6"/>
  <c r="D10" i="6"/>
  <c r="D28" i="6"/>
  <c r="D15" i="6"/>
  <c r="D17" i="6"/>
  <c r="A6" i="6"/>
  <c r="A7" i="6"/>
  <c r="A23" i="6"/>
  <c r="A24" i="6"/>
  <c r="A25" i="6"/>
  <c r="A10" i="6"/>
  <c r="A26" i="6"/>
  <c r="A11" i="6"/>
  <c r="A12" i="6"/>
  <c r="A13" i="6"/>
  <c r="A29" i="6"/>
  <c r="A30" i="6"/>
  <c r="A8" i="6"/>
  <c r="A27" i="6"/>
  <c r="A14" i="6"/>
  <c r="A15" i="6"/>
  <c r="A16" i="6"/>
  <c r="A18" i="6"/>
  <c r="A21" i="6"/>
  <c r="A9" i="6"/>
  <c r="A31" i="6"/>
  <c r="A17" i="6"/>
  <c r="A19" i="6"/>
  <c r="A22" i="6"/>
  <c r="A28" i="6"/>
  <c r="A20" i="6"/>
  <c r="C6" i="6"/>
  <c r="C7" i="6"/>
  <c r="C23" i="6"/>
  <c r="C24" i="6"/>
  <c r="C9" i="6"/>
  <c r="C25" i="6"/>
  <c r="C11" i="6"/>
  <c r="C12" i="6"/>
  <c r="C13" i="6"/>
  <c r="C14" i="6"/>
  <c r="C15" i="6"/>
  <c r="C16" i="6"/>
  <c r="C19" i="6"/>
  <c r="C20" i="6"/>
  <c r="C22" i="6"/>
  <c r="C8" i="6"/>
  <c r="C26" i="6"/>
  <c r="C27" i="6"/>
  <c r="C28" i="6"/>
  <c r="C30" i="6"/>
  <c r="C31" i="6"/>
  <c r="C17" i="6"/>
  <c r="C18" i="6"/>
  <c r="C21" i="6"/>
  <c r="C10" i="6"/>
  <c r="C29" i="6"/>
  <c r="A49" i="6"/>
  <c r="A41" i="6"/>
  <c r="A42" i="6"/>
  <c r="A51" i="6"/>
  <c r="A52" i="6"/>
  <c r="A53" i="6"/>
  <c r="A54" i="6"/>
  <c r="A43" i="6"/>
  <c r="A44" i="6"/>
  <c r="A45" i="6"/>
  <c r="A46" i="6"/>
  <c r="A50" i="6"/>
  <c r="A48" i="6"/>
  <c r="A47" i="6"/>
  <c r="G15" i="2" l="1"/>
  <c r="F15" i="2"/>
  <c r="E15" i="2"/>
  <c r="D15" i="2"/>
  <c r="C15" i="2"/>
  <c r="H15" i="2"/>
  <c r="B8" i="7"/>
  <c r="B19" i="7"/>
  <c r="B23" i="7"/>
  <c r="B3" i="6"/>
  <c r="E1" i="9" l="1"/>
  <c r="B3" i="1" s="1"/>
  <c r="B4" i="7"/>
  <c r="M5" i="5"/>
  <c r="U5" i="5" s="1"/>
  <c r="N5" i="5"/>
  <c r="O5" i="5"/>
  <c r="P5" i="5"/>
  <c r="Q5" i="5"/>
  <c r="R5" i="5"/>
  <c r="S5" i="5"/>
  <c r="T5" i="5"/>
  <c r="M6" i="5"/>
  <c r="U6" i="5" s="1"/>
  <c r="N6" i="5"/>
  <c r="O6" i="5"/>
  <c r="P6" i="5"/>
  <c r="Q6" i="5"/>
  <c r="R6" i="5"/>
  <c r="S6" i="5"/>
  <c r="T6" i="5"/>
  <c r="M7" i="5"/>
  <c r="N7" i="5"/>
  <c r="O7" i="5"/>
  <c r="P7" i="5"/>
  <c r="Q7" i="5"/>
  <c r="R7" i="5"/>
  <c r="S7" i="5"/>
  <c r="T7" i="5"/>
  <c r="U7" i="5"/>
  <c r="M8" i="5"/>
  <c r="U8" i="5" s="1"/>
  <c r="N8" i="5"/>
  <c r="O8" i="5"/>
  <c r="P8" i="5"/>
  <c r="Q8" i="5"/>
  <c r="R8" i="5"/>
  <c r="S8" i="5"/>
  <c r="T8" i="5"/>
  <c r="M9" i="5"/>
  <c r="N9" i="5"/>
  <c r="O9" i="5"/>
  <c r="P9" i="5"/>
  <c r="Q9" i="5"/>
  <c r="R9" i="5"/>
  <c r="S9" i="5"/>
  <c r="T9" i="5"/>
  <c r="U9" i="5"/>
  <c r="M10" i="5"/>
  <c r="U10" i="5" s="1"/>
  <c r="N10" i="5"/>
  <c r="O10" i="5"/>
  <c r="P10" i="5"/>
  <c r="Q10" i="5"/>
  <c r="R10" i="5"/>
  <c r="S10" i="5"/>
  <c r="T10" i="5"/>
  <c r="M11" i="5"/>
  <c r="U11" i="5" s="1"/>
  <c r="N11" i="5"/>
  <c r="O11" i="5"/>
  <c r="P11" i="5"/>
  <c r="Q11" i="5"/>
  <c r="R11" i="5"/>
  <c r="S11" i="5"/>
  <c r="T11" i="5"/>
  <c r="M12" i="5"/>
  <c r="U12" i="5" s="1"/>
  <c r="N12" i="5"/>
  <c r="O12" i="5"/>
  <c r="P12" i="5"/>
  <c r="Q12" i="5"/>
  <c r="R12" i="5"/>
  <c r="S12" i="5"/>
  <c r="T12" i="5"/>
  <c r="M13" i="5"/>
  <c r="U13" i="5" s="1"/>
  <c r="N13" i="5"/>
  <c r="O13" i="5"/>
  <c r="P13" i="5"/>
  <c r="Q13" i="5"/>
  <c r="R13" i="5"/>
  <c r="S13" i="5"/>
  <c r="T13" i="5"/>
  <c r="M14" i="5"/>
  <c r="U14" i="5" s="1"/>
  <c r="N14" i="5"/>
  <c r="O14" i="5"/>
  <c r="P14" i="5"/>
  <c r="Q14" i="5"/>
  <c r="R14" i="5"/>
  <c r="S14" i="5"/>
  <c r="T14" i="5"/>
  <c r="M15" i="5"/>
  <c r="U15" i="5" s="1"/>
  <c r="N15" i="5"/>
  <c r="O15" i="5"/>
  <c r="P15" i="5"/>
  <c r="Q15" i="5"/>
  <c r="R15" i="5"/>
  <c r="S15" i="5"/>
  <c r="T15" i="5"/>
  <c r="M16" i="5"/>
  <c r="U16" i="5" s="1"/>
  <c r="N16" i="5"/>
  <c r="O16" i="5"/>
  <c r="P16" i="5"/>
  <c r="Q16" i="5"/>
  <c r="R16" i="5"/>
  <c r="S16" i="5"/>
  <c r="T16" i="5"/>
  <c r="M17" i="5"/>
  <c r="U17" i="5" s="1"/>
  <c r="N17" i="5"/>
  <c r="O17" i="5"/>
  <c r="P17" i="5"/>
  <c r="Q17" i="5"/>
  <c r="R17" i="5"/>
  <c r="S17" i="5"/>
  <c r="T17" i="5"/>
  <c r="M18" i="5"/>
  <c r="U18" i="5" s="1"/>
  <c r="N18" i="5"/>
  <c r="O18" i="5"/>
  <c r="P18" i="5"/>
  <c r="Q18" i="5"/>
  <c r="R18" i="5"/>
  <c r="S18" i="5"/>
  <c r="T18" i="5"/>
  <c r="M19" i="5"/>
  <c r="U19" i="5" s="1"/>
  <c r="N19" i="5"/>
  <c r="O19" i="5"/>
  <c r="P19" i="5"/>
  <c r="Q19" i="5"/>
  <c r="R19" i="5"/>
  <c r="S19" i="5"/>
  <c r="T19" i="5"/>
  <c r="M20" i="5"/>
  <c r="U20" i="5" s="1"/>
  <c r="N20" i="5"/>
  <c r="O20" i="5"/>
  <c r="P20" i="5"/>
  <c r="Q20" i="5"/>
  <c r="R20" i="5"/>
  <c r="S20" i="5"/>
  <c r="T20" i="5"/>
  <c r="M21" i="5"/>
  <c r="U21" i="5" s="1"/>
  <c r="N21" i="5"/>
  <c r="O21" i="5"/>
  <c r="P21" i="5"/>
  <c r="Q21" i="5"/>
  <c r="R21" i="5"/>
  <c r="S21" i="5"/>
  <c r="T21" i="5"/>
  <c r="M22" i="5"/>
  <c r="U22" i="5" s="1"/>
  <c r="N22" i="5"/>
  <c r="O22" i="5"/>
  <c r="P22" i="5"/>
  <c r="Q22" i="5"/>
  <c r="R22" i="5"/>
  <c r="S22" i="5"/>
  <c r="T22" i="5"/>
  <c r="M23" i="5"/>
  <c r="U23" i="5" s="1"/>
  <c r="N23" i="5"/>
  <c r="O23" i="5"/>
  <c r="P23" i="5"/>
  <c r="Q23" i="5"/>
  <c r="R23" i="5"/>
  <c r="S23" i="5"/>
  <c r="T23" i="5"/>
  <c r="M24" i="5"/>
  <c r="U24" i="5" s="1"/>
  <c r="N24" i="5"/>
  <c r="O24" i="5"/>
  <c r="P24" i="5"/>
  <c r="Q24" i="5"/>
  <c r="R24" i="5"/>
  <c r="S24" i="5"/>
  <c r="T24" i="5"/>
  <c r="M25" i="5"/>
  <c r="U25" i="5" s="1"/>
  <c r="N25" i="5"/>
  <c r="O25" i="5"/>
  <c r="P25" i="5"/>
  <c r="Q25" i="5"/>
  <c r="R25" i="5"/>
  <c r="S25" i="5"/>
  <c r="T25" i="5"/>
  <c r="M26" i="5"/>
  <c r="U26" i="5" s="1"/>
  <c r="N26" i="5"/>
  <c r="O26" i="5"/>
  <c r="P26" i="5"/>
  <c r="Q26" i="5"/>
  <c r="R26" i="5"/>
  <c r="S26" i="5"/>
  <c r="T26" i="5"/>
  <c r="M27" i="5"/>
  <c r="U27" i="5" s="1"/>
  <c r="N27" i="5"/>
  <c r="O27" i="5"/>
  <c r="P27" i="5"/>
  <c r="Q27" i="5"/>
  <c r="R27" i="5"/>
  <c r="S27" i="5"/>
  <c r="T27" i="5"/>
  <c r="M28" i="5"/>
  <c r="U28" i="5" s="1"/>
  <c r="N28" i="5"/>
  <c r="O28" i="5"/>
  <c r="P28" i="5"/>
  <c r="Q28" i="5"/>
  <c r="R28" i="5"/>
  <c r="S28" i="5"/>
  <c r="T28" i="5"/>
  <c r="M29" i="5"/>
  <c r="U29" i="5" s="1"/>
  <c r="N29" i="5"/>
  <c r="O29" i="5"/>
  <c r="P29" i="5"/>
  <c r="Q29" i="5"/>
  <c r="R29" i="5"/>
  <c r="S29" i="5"/>
  <c r="T29" i="5"/>
  <c r="M30" i="5"/>
  <c r="U30" i="5" s="1"/>
  <c r="N30" i="5"/>
  <c r="O30" i="5"/>
  <c r="P30" i="5"/>
  <c r="Q30" i="5"/>
  <c r="R30" i="5"/>
  <c r="S30" i="5"/>
  <c r="T30" i="5"/>
  <c r="M31" i="5"/>
  <c r="U31" i="5" s="1"/>
  <c r="N31" i="5"/>
  <c r="O31" i="5"/>
  <c r="P31" i="5"/>
  <c r="Q31" i="5"/>
  <c r="R31" i="5"/>
  <c r="S31" i="5"/>
  <c r="T31" i="5"/>
  <c r="M32" i="5"/>
  <c r="U32" i="5" s="1"/>
  <c r="N32" i="5"/>
  <c r="O32" i="5"/>
  <c r="P32" i="5"/>
  <c r="Q32" i="5"/>
  <c r="R32" i="5"/>
  <c r="S32" i="5"/>
  <c r="T32" i="5"/>
  <c r="M33" i="5"/>
  <c r="U33" i="5" s="1"/>
  <c r="N33" i="5"/>
  <c r="O33" i="5"/>
  <c r="P33" i="5"/>
  <c r="Q33" i="5"/>
  <c r="R33" i="5"/>
  <c r="S33" i="5"/>
  <c r="T33" i="5"/>
  <c r="M34" i="5"/>
  <c r="U34" i="5" s="1"/>
  <c r="N34" i="5"/>
  <c r="O34" i="5"/>
  <c r="P34" i="5"/>
  <c r="Q34" i="5"/>
  <c r="R34" i="5"/>
  <c r="S34" i="5"/>
  <c r="T34" i="5"/>
  <c r="M35" i="5"/>
  <c r="U35" i="5" s="1"/>
  <c r="N35" i="5"/>
  <c r="O35" i="5"/>
  <c r="P35" i="5"/>
  <c r="Q35" i="5"/>
  <c r="R35" i="5"/>
  <c r="S35" i="5"/>
  <c r="T35" i="5"/>
  <c r="M36" i="5"/>
  <c r="U36" i="5" s="1"/>
  <c r="N36" i="5"/>
  <c r="O36" i="5"/>
  <c r="P36" i="5"/>
  <c r="Q36" i="5"/>
  <c r="R36" i="5"/>
  <c r="S36" i="5"/>
  <c r="T36" i="5"/>
  <c r="M37" i="5"/>
  <c r="U37" i="5" s="1"/>
  <c r="N37" i="5"/>
  <c r="O37" i="5"/>
  <c r="P37" i="5"/>
  <c r="Q37" i="5"/>
  <c r="R37" i="5"/>
  <c r="S37" i="5"/>
  <c r="T37" i="5"/>
  <c r="M38" i="5"/>
  <c r="U38" i="5" s="1"/>
  <c r="N38" i="5"/>
  <c r="O38" i="5"/>
  <c r="P38" i="5"/>
  <c r="Q38" i="5"/>
  <c r="R38" i="5"/>
  <c r="S38" i="5"/>
  <c r="T38" i="5"/>
  <c r="M39" i="5"/>
  <c r="U39" i="5" s="1"/>
  <c r="N39" i="5"/>
  <c r="O39" i="5"/>
  <c r="P39" i="5"/>
  <c r="Q39" i="5"/>
  <c r="R39" i="5"/>
  <c r="S39" i="5"/>
  <c r="T39" i="5"/>
  <c r="M40" i="5"/>
  <c r="U40" i="5" s="1"/>
  <c r="N40" i="5"/>
  <c r="O40" i="5"/>
  <c r="P40" i="5"/>
  <c r="Q40" i="5"/>
  <c r="R40" i="5"/>
  <c r="S40" i="5"/>
  <c r="T40" i="5"/>
  <c r="M41" i="5"/>
  <c r="U41" i="5" s="1"/>
  <c r="N41" i="5"/>
  <c r="O41" i="5"/>
  <c r="P41" i="5"/>
  <c r="Q41" i="5"/>
  <c r="R41" i="5"/>
  <c r="S41" i="5"/>
  <c r="T41" i="5"/>
  <c r="M42" i="5"/>
  <c r="U42" i="5" s="1"/>
  <c r="N42" i="5"/>
  <c r="O42" i="5"/>
  <c r="P42" i="5"/>
  <c r="Q42" i="5"/>
  <c r="R42" i="5"/>
  <c r="S42" i="5"/>
  <c r="T42" i="5"/>
  <c r="M43" i="5"/>
  <c r="U43" i="5" s="1"/>
  <c r="N43" i="5"/>
  <c r="O43" i="5"/>
  <c r="P43" i="5"/>
  <c r="Q43" i="5"/>
  <c r="R43" i="5"/>
  <c r="S43" i="5"/>
  <c r="T43" i="5"/>
  <c r="M44" i="5"/>
  <c r="U44" i="5" s="1"/>
  <c r="N44" i="5"/>
  <c r="O44" i="5"/>
  <c r="P44" i="5"/>
  <c r="Q44" i="5"/>
  <c r="R44" i="5"/>
  <c r="S44" i="5"/>
  <c r="T44" i="5"/>
  <c r="M45" i="5"/>
  <c r="U45" i="5" s="1"/>
  <c r="N45" i="5"/>
  <c r="O45" i="5"/>
  <c r="P45" i="5"/>
  <c r="Q45" i="5"/>
  <c r="R45" i="5"/>
  <c r="S45" i="5"/>
  <c r="T45" i="5"/>
  <c r="M46" i="5"/>
  <c r="U46" i="5" s="1"/>
  <c r="N46" i="5"/>
  <c r="O46" i="5"/>
  <c r="P46" i="5"/>
  <c r="Q46" i="5"/>
  <c r="R46" i="5"/>
  <c r="S46" i="5"/>
  <c r="T46" i="5"/>
  <c r="M47" i="5"/>
  <c r="U47" i="5" s="1"/>
  <c r="N47" i="5"/>
  <c r="O47" i="5"/>
  <c r="P47" i="5"/>
  <c r="Q47" i="5"/>
  <c r="R47" i="5"/>
  <c r="S47" i="5"/>
  <c r="T47" i="5"/>
  <c r="M48" i="5"/>
  <c r="U48" i="5" s="1"/>
  <c r="N48" i="5"/>
  <c r="O48" i="5"/>
  <c r="P48" i="5"/>
  <c r="Q48" i="5"/>
  <c r="R48" i="5"/>
  <c r="S48" i="5"/>
  <c r="T48" i="5"/>
  <c r="M49" i="5"/>
  <c r="U49" i="5" s="1"/>
  <c r="N49" i="5"/>
  <c r="O49" i="5"/>
  <c r="P49" i="5"/>
  <c r="Q49" i="5"/>
  <c r="R49" i="5"/>
  <c r="S49" i="5"/>
  <c r="T49" i="5"/>
  <c r="M50" i="5"/>
  <c r="U50" i="5" s="1"/>
  <c r="N50" i="5"/>
  <c r="O50" i="5"/>
  <c r="P50" i="5"/>
  <c r="Q50" i="5"/>
  <c r="R50" i="5"/>
  <c r="S50" i="5"/>
  <c r="T50" i="5"/>
  <c r="M51" i="5"/>
  <c r="U51" i="5" s="1"/>
  <c r="N51" i="5"/>
  <c r="O51" i="5"/>
  <c r="P51" i="5"/>
  <c r="Q51" i="5"/>
  <c r="R51" i="5"/>
  <c r="S51" i="5"/>
  <c r="T51" i="5"/>
  <c r="M52" i="5"/>
  <c r="U52" i="5" s="1"/>
  <c r="N52" i="5"/>
  <c r="O52" i="5"/>
  <c r="P52" i="5"/>
  <c r="Q52" i="5"/>
  <c r="R52" i="5"/>
  <c r="S52" i="5"/>
  <c r="T52" i="5"/>
  <c r="M53" i="5"/>
  <c r="U53" i="5" s="1"/>
  <c r="N53" i="5"/>
  <c r="O53" i="5"/>
  <c r="P53" i="5"/>
  <c r="Q53" i="5"/>
  <c r="R53" i="5"/>
  <c r="S53" i="5"/>
  <c r="T53" i="5"/>
  <c r="M54" i="5"/>
  <c r="U54" i="5" s="1"/>
  <c r="N54" i="5"/>
  <c r="O54" i="5"/>
  <c r="P54" i="5"/>
  <c r="Q54" i="5"/>
  <c r="R54" i="5"/>
  <c r="S54" i="5"/>
  <c r="T54" i="5"/>
  <c r="N55" i="5"/>
  <c r="P55" i="5"/>
  <c r="U55" i="5"/>
  <c r="B60" i="5"/>
  <c r="B62" i="5"/>
  <c r="B63" i="5"/>
  <c r="B6" i="4"/>
  <c r="B11" i="4" s="1"/>
  <c r="B21" i="4"/>
  <c r="B23" i="4"/>
  <c r="I5" i="2"/>
  <c r="I6" i="2"/>
  <c r="C7" i="2"/>
  <c r="D7" i="2"/>
  <c r="E7" i="2"/>
  <c r="F7" i="2"/>
  <c r="G7" i="2"/>
  <c r="H7" i="2"/>
  <c r="B10" i="7" s="1"/>
  <c r="I8" i="2"/>
  <c r="C9" i="2"/>
  <c r="D9" i="2"/>
  <c r="E9" i="2"/>
  <c r="F9" i="2"/>
  <c r="G9" i="2"/>
  <c r="H9" i="2"/>
  <c r="B11" i="7" s="1"/>
  <c r="I10" i="2"/>
  <c r="I11" i="2"/>
  <c r="C12" i="2"/>
  <c r="D12" i="2"/>
  <c r="E12" i="2"/>
  <c r="F12" i="2"/>
  <c r="G12" i="2"/>
  <c r="H12" i="2"/>
  <c r="B12" i="7" s="1"/>
  <c r="I13" i="2"/>
  <c r="C29" i="2"/>
  <c r="D29" i="2"/>
  <c r="E29" i="2"/>
  <c r="F16" i="2"/>
  <c r="G16" i="2"/>
  <c r="H29" i="2"/>
  <c r="B7" i="4" s="1"/>
  <c r="I15" i="2"/>
  <c r="B35" i="4" s="1"/>
  <c r="C16" i="2"/>
  <c r="D16" i="2"/>
  <c r="E16" i="2"/>
  <c r="C18" i="2"/>
  <c r="D18" i="2"/>
  <c r="E18" i="2"/>
  <c r="F18" i="2"/>
  <c r="G18" i="2"/>
  <c r="H18" i="2"/>
  <c r="C23" i="2"/>
  <c r="C27" i="2" s="1"/>
  <c r="D23" i="2"/>
  <c r="D27" i="2" s="1"/>
  <c r="E23" i="2"/>
  <c r="E27" i="2" s="1"/>
  <c r="F23" i="2"/>
  <c r="F27" i="2" s="1"/>
  <c r="G23" i="2"/>
  <c r="G27" i="2" s="1"/>
  <c r="H23" i="2"/>
  <c r="H27" i="2" s="1"/>
  <c r="C26" i="2"/>
  <c r="D26" i="2"/>
  <c r="D31" i="2" s="1"/>
  <c r="E26" i="2"/>
  <c r="E31" i="2" s="1"/>
  <c r="F26" i="2"/>
  <c r="F31" i="2" s="1"/>
  <c r="G26" i="2"/>
  <c r="G31" i="2" s="1"/>
  <c r="H26" i="2"/>
  <c r="H31" i="2" s="1"/>
  <c r="B17" i="7" s="1"/>
  <c r="C28" i="2"/>
  <c r="D28" i="2"/>
  <c r="E28" i="2"/>
  <c r="F28" i="2"/>
  <c r="G28" i="2"/>
  <c r="H28" i="2"/>
  <c r="C30" i="2"/>
  <c r="D30" i="2"/>
  <c r="E30" i="2"/>
  <c r="F30" i="2"/>
  <c r="G30" i="2"/>
  <c r="H30" i="2"/>
  <c r="C31" i="2"/>
  <c r="C32" i="2"/>
  <c r="D32" i="2"/>
  <c r="E32" i="2"/>
  <c r="F32" i="2"/>
  <c r="G32" i="2"/>
  <c r="H32" i="2"/>
  <c r="I33" i="2"/>
  <c r="D34" i="2"/>
  <c r="E34" i="2"/>
  <c r="F34" i="2"/>
  <c r="G34" i="2"/>
  <c r="H34" i="2"/>
  <c r="D14" i="1"/>
  <c r="D34" i="1"/>
  <c r="D36" i="1"/>
  <c r="D29" i="1"/>
  <c r="D31" i="1"/>
  <c r="D28" i="1"/>
  <c r="D32" i="1"/>
  <c r="D21" i="1"/>
  <c r="D16" i="1"/>
  <c r="D15" i="1"/>
  <c r="D17" i="1"/>
  <c r="D18" i="1"/>
  <c r="D39" i="1"/>
  <c r="D40" i="1"/>
  <c r="D19" i="1"/>
  <c r="D22" i="1"/>
  <c r="D23" i="1"/>
  <c r="D30" i="1"/>
  <c r="D37" i="1"/>
  <c r="D35" i="1"/>
  <c r="D8" i="1" l="1"/>
  <c r="B64" i="5"/>
  <c r="R55" i="5"/>
  <c r="D60" i="5"/>
  <c r="F60" i="5" s="1"/>
  <c r="C67" i="5"/>
  <c r="C66" i="5"/>
  <c r="C61" i="5"/>
  <c r="C64" i="5"/>
  <c r="C65" i="5"/>
  <c r="C62" i="5"/>
  <c r="D10" i="4"/>
  <c r="B15" i="7"/>
  <c r="B66" i="5"/>
  <c r="S55" i="5"/>
  <c r="B25" i="4"/>
  <c r="B20" i="7"/>
  <c r="B61" i="5"/>
  <c r="O55" i="5"/>
  <c r="B19" i="4"/>
  <c r="B20" i="4" s="1"/>
  <c r="D24" i="1"/>
  <c r="B7" i="7" s="1"/>
  <c r="B5" i="7"/>
  <c r="B5" i="4"/>
  <c r="B6" i="7"/>
  <c r="B24" i="4"/>
  <c r="B31" i="4"/>
  <c r="D63" i="5"/>
  <c r="F63" i="5" s="1"/>
  <c r="C63" i="5"/>
  <c r="B25" i="7"/>
  <c r="B9" i="7"/>
  <c r="B10" i="4"/>
  <c r="B36" i="4"/>
  <c r="B26" i="7"/>
  <c r="B18" i="7"/>
  <c r="Q55" i="5"/>
  <c r="D64" i="5"/>
  <c r="F64" i="5" s="1"/>
  <c r="D12" i="4"/>
  <c r="D62" i="5"/>
  <c r="F62" i="5" s="1"/>
  <c r="B32" i="4"/>
  <c r="B12" i="4"/>
  <c r="G29" i="2"/>
  <c r="D11" i="4"/>
  <c r="E11" i="4" s="1"/>
  <c r="C60" i="5"/>
  <c r="B13" i="7"/>
  <c r="B24" i="7"/>
  <c r="F29" i="2"/>
  <c r="H16" i="2"/>
  <c r="B14" i="7" s="1"/>
  <c r="B65" i="5"/>
  <c r="D65" i="5" s="1"/>
  <c r="F65" i="5" s="1"/>
  <c r="D38" i="1"/>
  <c r="D41" i="1"/>
  <c r="D42" i="1"/>
  <c r="F11" i="4" l="1"/>
  <c r="D61" i="5"/>
  <c r="F61" i="5" s="1"/>
  <c r="E10" i="4"/>
  <c r="F10" i="4" s="1"/>
  <c r="D66" i="5"/>
  <c r="F66" i="5" s="1"/>
  <c r="B27" i="4"/>
  <c r="B16" i="7"/>
  <c r="B27" i="7"/>
  <c r="B67" i="5"/>
  <c r="T55" i="5"/>
  <c r="E12" i="4"/>
  <c r="F12" i="4" s="1"/>
  <c r="B33" i="4"/>
  <c r="B26" i="4"/>
  <c r="B28" i="4" l="1"/>
  <c r="D67" i="5"/>
  <c r="F67" i="5" s="1"/>
  <c r="B43" i="4"/>
  <c r="B34" i="4"/>
  <c r="B41" i="4"/>
  <c r="B37" i="4" l="1"/>
  <c r="B38" i="4"/>
  <c r="B42" i="4"/>
</calcChain>
</file>

<file path=xl/sharedStrings.xml><?xml version="1.0" encoding="utf-8"?>
<sst xmlns="http://schemas.openxmlformats.org/spreadsheetml/2006/main" count="715" uniqueCount="604">
  <si>
    <t>DENNIS — recent news &amp; key developments (auto; Capital IQ)</t>
  </si>
  <si>
    <t>Capital IQ IQ_NEWS — latest headlines (Date / Headline / Source / URL). Each column spills down from row 6 when the add-in refreshes. Feeds the /headline shorts flow.</t>
  </si>
  <si>
    <t>Ticker →</t>
  </si>
  <si>
    <t>Date</t>
  </si>
  <si>
    <t>Headline</t>
  </si>
  <si>
    <t>Source</t>
  </si>
  <si>
    <t>URL</t>
  </si>
  <si>
    <t>Pattern: CIQRANGE(ticker, "IQ_NEWS", 1, N, , , , , "&lt;data item&gt;") — items: News Headline/Date/Source/URL/Time</t>
  </si>
  <si>
    <t>DENNIS — data · latest snapshot (formulas pre-filled)</t>
  </si>
  <si>
    <t>Refinitiv</t>
  </si>
  <si>
    <t>Capital IQ</t>
  </si>
  <si>
    <t>RIC override (optional, wins if set) →</t>
  </si>
  <si>
    <t>Ticker / RIC -&gt;</t>
  </si>
  <si>
    <t>Green=auto add-in formula (verify mnemonic in last col). Grey=computed. Yellow=you set. % in points; currency absolute.</t>
  </si>
  <si>
    <t>Section</t>
  </si>
  <si>
    <t>field_key</t>
  </si>
  <si>
    <t>Label</t>
  </si>
  <si>
    <t>Field mnemonic (verify)</t>
  </si>
  <si>
    <t>Priority</t>
  </si>
  <si>
    <t>Identity</t>
  </si>
  <si>
    <t>company_name</t>
  </si>
  <si>
    <t>Company Name</t>
  </si>
  <si>
    <t>TR.CommonName</t>
  </si>
  <si>
    <t>Required</t>
  </si>
  <si>
    <t>ticker</t>
  </si>
  <si>
    <t>Ticker</t>
  </si>
  <si>
    <t>exchange</t>
  </si>
  <si>
    <t>Exchange</t>
  </si>
  <si>
    <t>TR.ExchangeName</t>
  </si>
  <si>
    <t>Recommended</t>
  </si>
  <si>
    <t>sector</t>
  </si>
  <si>
    <t>GICS Sector</t>
  </si>
  <si>
    <t>TR.GICSSector</t>
  </si>
  <si>
    <t>industry</t>
  </si>
  <si>
    <t>Industry</t>
  </si>
  <si>
    <t>TR.GICSIndustry</t>
  </si>
  <si>
    <t>Optional</t>
  </si>
  <si>
    <t>country</t>
  </si>
  <si>
    <t>Country</t>
  </si>
  <si>
    <t>TR.HeadquartersCountry</t>
  </si>
  <si>
    <t>currency</t>
  </si>
  <si>
    <t>Reporting Currency</t>
  </si>
  <si>
    <t>TR.FinancialCurrency</t>
  </si>
  <si>
    <t>as_of_date</t>
  </si>
  <si>
    <t>As-of Date</t>
  </si>
  <si>
    <t>Price &amp; Size</t>
  </si>
  <si>
    <t>price</t>
  </si>
  <si>
    <t>Price</t>
  </si>
  <si>
    <t>TR.PriceClose</t>
  </si>
  <si>
    <t>market_cap</t>
  </si>
  <si>
    <t>Market Cap</t>
  </si>
  <si>
    <t>TR.CompanyMarketCap</t>
  </si>
  <si>
    <t>enterprise_value</t>
  </si>
  <si>
    <t>Enterprise Value</t>
  </si>
  <si>
    <t>TR.EV</t>
  </si>
  <si>
    <t>shares_out</t>
  </si>
  <si>
    <t>Shares Outstanding</t>
  </si>
  <si>
    <t>TR.SharesOutstanding</t>
  </si>
  <si>
    <t>shares_dill_out</t>
  </si>
  <si>
    <t>Shares Dilluted Outstanding</t>
  </si>
  <si>
    <t>avg_volume_3m</t>
  </si>
  <si>
    <t>Avg Daily Volume (3m)</t>
  </si>
  <si>
    <t>TR.AvgDailyVolume3M</t>
  </si>
  <si>
    <t>beta</t>
  </si>
  <si>
    <t>Beta (5y)</t>
  </si>
  <si>
    <t>TR.Beta</t>
  </si>
  <si>
    <t>week52_high</t>
  </si>
  <si>
    <t>52-Week High</t>
  </si>
  <si>
    <t>TR.Price52WeekHigh</t>
  </si>
  <si>
    <t>week52_low</t>
  </si>
  <si>
    <t>52-Week Low</t>
  </si>
  <si>
    <t>TR.Price52WeekLow</t>
  </si>
  <si>
    <t>pct_from_52w_high</t>
  </si>
  <si>
    <t>% From 52w High</t>
  </si>
  <si>
    <t>computed</t>
  </si>
  <si>
    <t>Valuation (now)</t>
  </si>
  <si>
    <t>pe_ttm</t>
  </si>
  <si>
    <t>P/E (TTM)</t>
  </si>
  <si>
    <t>TR.PE</t>
  </si>
  <si>
    <t>forward_pe</t>
  </si>
  <si>
    <t>Forward P/E</t>
  </si>
  <si>
    <t>ps_ttm</t>
  </si>
  <si>
    <t>P/S (TTM)</t>
  </si>
  <si>
    <t>TR.PriceToSalesPerShare</t>
  </si>
  <si>
    <t>ev_ebitda</t>
  </si>
  <si>
    <t>EV / EBITDA</t>
  </si>
  <si>
    <t>TR.EVToEBITDA</t>
  </si>
  <si>
    <t>ev_sales</t>
  </si>
  <si>
    <t>EV / Sales</t>
  </si>
  <si>
    <t>TR.EVToSales</t>
  </si>
  <si>
    <t>ev_fcf</t>
  </si>
  <si>
    <t>EV / FCF</t>
  </si>
  <si>
    <t>TR.EVToFCF</t>
  </si>
  <si>
    <t>pb</t>
  </si>
  <si>
    <t>P / B</t>
  </si>
  <si>
    <t>TR.PriceToBVPerShare</t>
  </si>
  <si>
    <t>p_fcf</t>
  </si>
  <si>
    <t>P / FCF</t>
  </si>
  <si>
    <t>TR.PriceToFCFPerShare</t>
  </si>
  <si>
    <t>peg</t>
  </si>
  <si>
    <t>PEG</t>
  </si>
  <si>
    <t>TR.PEG</t>
  </si>
  <si>
    <t>earnings_yield</t>
  </si>
  <si>
    <t>Earnings Yield (%)</t>
  </si>
  <si>
    <t>fcf_yield</t>
  </si>
  <si>
    <t>FCF Yield (%)</t>
  </si>
  <si>
    <t>computed: LTM FCF / Market Cap (was 1/[P/FCF])</t>
  </si>
  <si>
    <t>dividend_yield</t>
  </si>
  <si>
    <t>Dividend Yield (%)</t>
  </si>
  <si>
    <t>buyback_yield</t>
  </si>
  <si>
    <t>Buyback Yield (%)</t>
  </si>
  <si>
    <t>TR.BuybackYield</t>
  </si>
  <si>
    <t>shareholder_yield</t>
  </si>
  <si>
    <t>Shareholder Yield (%)</t>
  </si>
  <si>
    <t>Balance (now)</t>
  </si>
  <si>
    <t>cash_st</t>
  </si>
  <si>
    <t>Cash &amp; ST Investments</t>
  </si>
  <si>
    <t>TR.CashAndSTInvestments</t>
  </si>
  <si>
    <t>total_debt_now</t>
  </si>
  <si>
    <t>Total Debt</t>
  </si>
  <si>
    <t>TR.TotalDebtOutstanding</t>
  </si>
  <si>
    <t>net_debt_now</t>
  </si>
  <si>
    <t>Net Debt</t>
  </si>
  <si>
    <t>net_debt_ebitda_now</t>
  </si>
  <si>
    <t>Net Debt / EBITDA</t>
  </si>
  <si>
    <t>TR.NetDebtToEBITDA</t>
  </si>
  <si>
    <t>debt_to_equity</t>
  </si>
  <si>
    <t>Debt / Equity (%)</t>
  </si>
  <si>
    <t>TR.TotalDebtToTotalEquityPct</t>
  </si>
  <si>
    <t>current_ratio</t>
  </si>
  <si>
    <t>Current Ratio as of last quarter</t>
  </si>
  <si>
    <t>TR.CurrentRatio</t>
  </si>
  <si>
    <t>quick_ratio</t>
  </si>
  <si>
    <t>Quick Ratio as of last quarter</t>
  </si>
  <si>
    <t>TR.QuickRatio</t>
  </si>
  <si>
    <t>interest_coverage</t>
  </si>
  <si>
    <t>Interest Coverage</t>
  </si>
  <si>
    <t>TR.InterestCoverageRatio</t>
  </si>
  <si>
    <t>goodwill_intang</t>
  </si>
  <si>
    <t>Goodwill &amp; Intangibles</t>
  </si>
  <si>
    <t>TR.GoodwillGross</t>
  </si>
  <si>
    <t>tangible_bv</t>
  </si>
  <si>
    <t>Tangible BV / Share</t>
  </si>
  <si>
    <t>TR.TangibleBVPerShare</t>
  </si>
  <si>
    <t>Ownership &amp; Risk</t>
  </si>
  <si>
    <t>short_interest</t>
  </si>
  <si>
    <t>Short Interest (% float)</t>
  </si>
  <si>
    <t>TR.ShortInterestPercentOfFloat</t>
  </si>
  <si>
    <t>insider_own</t>
  </si>
  <si>
    <t>Insider Ownership (%)</t>
  </si>
  <si>
    <t>TR.InsiderPercentHeld</t>
  </si>
  <si>
    <t>institutional_own</t>
  </si>
  <si>
    <t>Institutional Own (%)</t>
  </si>
  <si>
    <t>TR.InstitutionsPercentHeld</t>
  </si>
  <si>
    <t>DENNIS — financial history (6 periods) + trend (formulas pre-filled)</t>
  </si>
  <si>
    <t>Green rows auto-pull per period; grey rows/CAGR auto-calc. Set the RIC on Snapshot; refresh.</t>
  </si>
  <si>
    <t>FY-4</t>
  </si>
  <si>
    <t>FY-3</t>
  </si>
  <si>
    <t>FY-2</t>
  </si>
  <si>
    <t>FY-1</t>
  </si>
  <si>
    <t>FY-0</t>
  </si>
  <si>
    <t>LTM</t>
  </si>
  <si>
    <t>CAGR FY-4-&gt;FY-0 %</t>
  </si>
  <si>
    <t>revenue</t>
  </si>
  <si>
    <t>Revenue</t>
  </si>
  <si>
    <t>TR.Revenue</t>
  </si>
  <si>
    <t>gross_profit</t>
  </si>
  <si>
    <t>Gross Profit</t>
  </si>
  <si>
    <t>TR.GrossProfit</t>
  </si>
  <si>
    <t>gross_margin</t>
  </si>
  <si>
    <t>Gross Margin %</t>
  </si>
  <si>
    <t>operating_income</t>
  </si>
  <si>
    <t>Operating Income</t>
  </si>
  <si>
    <t>TR.OperatingIncome</t>
  </si>
  <si>
    <t>operating_margin</t>
  </si>
  <si>
    <t>Operating Margin %</t>
  </si>
  <si>
    <t>ebitda</t>
  </si>
  <si>
    <t>EBITDA</t>
  </si>
  <si>
    <t>TR.EBITDA</t>
  </si>
  <si>
    <t>net_income</t>
  </si>
  <si>
    <t>Net Income</t>
  </si>
  <si>
    <t>TR.NetIncomeAfterTax</t>
  </si>
  <si>
    <t>net_margin</t>
  </si>
  <si>
    <t>Net Margin %</t>
  </si>
  <si>
    <t>operating_cf</t>
  </si>
  <si>
    <t>Operating Cash Flow</t>
  </si>
  <si>
    <t>TR.CashFromOperatingAct</t>
  </si>
  <si>
    <t>capex</t>
  </si>
  <si>
    <t>CapEx</t>
  </si>
  <si>
    <t>TR.CapitalExpenditures</t>
  </si>
  <si>
    <t>fcf</t>
  </si>
  <si>
    <t>Free Cash Flow</t>
  </si>
  <si>
    <t>fcf_margin</t>
  </si>
  <si>
    <t>FCF Margin %</t>
  </si>
  <si>
    <t>sbc</t>
  </si>
  <si>
    <t>Stock-Based Comp</t>
  </si>
  <si>
    <t>TR.StockBasedCompensation</t>
  </si>
  <si>
    <t>sbc_pct_rev</t>
  </si>
  <si>
    <t>SBC % of Revenue</t>
  </si>
  <si>
    <t>dividends_paid</t>
  </si>
  <si>
    <t>Dividends Paid</t>
  </si>
  <si>
    <t>TR.CommonDividendsPaid</t>
  </si>
  <si>
    <t>buybacks</t>
  </si>
  <si>
    <t>Buybacks</t>
  </si>
  <si>
    <t>TR.RepurchaseOfCommonStock</t>
  </si>
  <si>
    <t>cash</t>
  </si>
  <si>
    <t>Cash &amp; Equivalents</t>
  </si>
  <si>
    <t>total_debt</t>
  </si>
  <si>
    <t>net_debt</t>
  </si>
  <si>
    <t>total_equity</t>
  </si>
  <si>
    <t>Total Equity</t>
  </si>
  <si>
    <t>TR.TotalEquity</t>
  </si>
  <si>
    <t>total_assets</t>
  </si>
  <si>
    <t>Total Assets</t>
  </si>
  <si>
    <t>TR.TotalAssets</t>
  </si>
  <si>
    <t>invested_capital</t>
  </si>
  <si>
    <t>Invested Capital</t>
  </si>
  <si>
    <t>TR.InvestedCapital</t>
  </si>
  <si>
    <t>net_debt_ebitda</t>
  </si>
  <si>
    <t>eps</t>
  </si>
  <si>
    <t>EPS (diluted)</t>
  </si>
  <si>
    <t>fcf_ps</t>
  </si>
  <si>
    <t>FCF per Share</t>
  </si>
  <si>
    <t>bvps</t>
  </si>
  <si>
    <t>Book Value / Share</t>
  </si>
  <si>
    <t>roic</t>
  </si>
  <si>
    <t>ROIC %</t>
  </si>
  <si>
    <t>roe</t>
  </si>
  <si>
    <t>ROE %</t>
  </si>
  <si>
    <t>diluted_shares</t>
  </si>
  <si>
    <t>Diluted Shares</t>
  </si>
  <si>
    <t>TR.DilutedWeightedAvgShares</t>
  </si>
  <si>
    <t>shares_yoy</t>
  </si>
  <si>
    <t>Share Count YoY %</t>
  </si>
  <si>
    <t>DENNIS — valuation &amp; bear/base/bull</t>
  </si>
  <si>
    <t>Bear/base/bull exit multiples now AUTO-SUGGEST from peer P/E percentiles (yellow — override anytime). WACC + reverse DCF below are fully auto.</t>
  </si>
  <si>
    <t>Inputs &amp; links</t>
  </si>
  <si>
    <t>Current price</t>
  </si>
  <si>
    <t>LTM EPS</t>
  </si>
  <si>
    <t>LTM FCF / share</t>
  </si>
  <si>
    <t>Scenario</t>
  </si>
  <si>
    <t>Metric</t>
  </si>
  <si>
    <t>(EPS)</t>
  </si>
  <si>
    <t>Exit multiple</t>
  </si>
  <si>
    <t>Implied price</t>
  </si>
  <si>
    <t>Upside %</t>
  </si>
  <si>
    <t>Bear</t>
  </si>
  <si>
    <t>EPS</t>
  </si>
  <si>
    <t>Base</t>
  </si>
  <si>
    <t>Bull</t>
  </si>
  <si>
    <t>Swap the metric to FCF/share (=B7) and use a P/FCF multiple for a cash-based valuation.</t>
  </si>
  <si>
    <t>WACC (auto — CAPM)</t>
  </si>
  <si>
    <t>Risk-free rate (10Y)</t>
  </si>
  <si>
    <t>Equity risk premium</t>
  </si>
  <si>
    <t>Cost of equity (Ke)</t>
  </si>
  <si>
    <t>Pre-tax cost of debt</t>
  </si>
  <si>
    <t>Tax rate</t>
  </si>
  <si>
    <t>After-tax cost of debt</t>
  </si>
  <si>
    <t>Equity value (mkt cap)</t>
  </si>
  <si>
    <t>Total debt</t>
  </si>
  <si>
    <t>Debt weight</t>
  </si>
  <si>
    <t>Equity weight</t>
  </si>
  <si>
    <t>WACC</t>
  </si>
  <si>
    <t>Reverse DCF — growth priced into today's price</t>
  </si>
  <si>
    <t>Enterprise value (EV)</t>
  </si>
  <si>
    <t>FCF base (LTM)</t>
  </si>
  <si>
    <t>FCF / EV yield</t>
  </si>
  <si>
    <t>Implied growth  (WACC − FCF/EV)</t>
  </si>
  <si>
    <t>Historical FCF CAGR (4y)</t>
  </si>
  <si>
    <t>Revenue CAGR (4y)</t>
  </si>
  <si>
    <t>Priced-for − delivered (FCF)</t>
  </si>
  <si>
    <t>Read</t>
  </si>
  <si>
    <t>Implied growth sensitivity (WACC ±1%)</t>
  </si>
  <si>
    <t>WACC −1%</t>
  </si>
  <si>
    <t>WACC base</t>
  </si>
  <si>
    <t>WACC +1%</t>
  </si>
  <si>
    <t>DENNIS — peers (auto via PEERS(); optional / long-form)</t>
  </si>
  <si>
    <t>Auto-pulls Refinitiv's peer list for the ticker — no manual RICs. Optional: mainly for long-form context.</t>
  </si>
  <si>
    <t>Peer (auto)</t>
  </si>
  <si>
    <t>P/E</t>
  </si>
  <si>
    <t>EV/EBITDA</t>
  </si>
  <si>
    <t>P/S</t>
  </si>
  <si>
    <t>Gross Mgn %</t>
  </si>
  <si>
    <t>Net Mgn %</t>
  </si>
  <si>
    <t>FCF Yield %</t>
  </si>
  <si>
    <t>NetDebt/EBITDA</t>
  </si>
  <si>
    <t>Rev LTM (now)</t>
  </si>
  <si>
    <t>Rev LTM (-3Y)</t>
  </si>
  <si>
    <t>Rev Growth % (3Y CAGR)</t>
  </si>
  <si>
    <t>cln P/E</t>
  </si>
  <si>
    <t>cln EV/EBITDA</t>
  </si>
  <si>
    <t>cln P/S</t>
  </si>
  <si>
    <t>cln GrossM</t>
  </si>
  <si>
    <t>cln NetM</t>
  </si>
  <si>
    <t>cln FCFY</t>
  </si>
  <si>
    <t>cln ND/EBITDA</t>
  </si>
  <si>
    <t>cln RevGrw3Y</t>
  </si>
  <si>
    <t>NULL</t>
  </si>
  <si>
    <t>Uber Technologies Inc</t>
  </si>
  <si>
    <t>Lyft Inc</t>
  </si>
  <si>
    <t>subj-&gt;</t>
  </si>
  <si>
    <t>DENNIS — self-scoring vs peers (percentile of THIS ticker in each peer column)</t>
  </si>
  <si>
    <t>PERCENTRANK.INC of the subject value within the cleaned peer columns above. 'Read' bakes in direction so a glance tells you cheap/expensive and strong/weak.</t>
  </si>
  <si>
    <t>Subject</t>
  </si>
  <si>
    <t>Peer median</t>
  </si>
  <si>
    <t>Percentile</t>
  </si>
  <si>
    <t>Higher is</t>
  </si>
  <si>
    <t>worse (expensive/levered)</t>
  </si>
  <si>
    <t>Rev growth % (3Y CAGR)</t>
  </si>
  <si>
    <t>better</t>
  </si>
  <si>
    <t>Gross margin %</t>
  </si>
  <si>
    <t>Net margin %</t>
  </si>
  <si>
    <t>FCF yield %</t>
  </si>
  <si>
    <t>Net debt / EBITDA</t>
  </si>
  <si>
    <t>Peer 3Y growth = (Rev now / Rev -3Y)^(1/3)-1 (col M) from TR.RevenueActValue with SDate/EDate date params. If these two columns stay blank on refresh, paste me the exact revenue field from Build Formula and I'll drop it in (it's last in A5, harmless if blank).</t>
  </si>
  <si>
    <t>DENNIS — one-glance summary (feeds the numbers sheet)</t>
  </si>
  <si>
    <t>Auto from the other sheets. Flags are rough heuristics.</t>
  </si>
  <si>
    <t>Company</t>
  </si>
  <si>
    <t>Market cap</t>
  </si>
  <si>
    <t>% from 52w high</t>
  </si>
  <si>
    <t>Revenue (LTM)</t>
  </si>
  <si>
    <t>Revenue 4y CAGR</t>
  </si>
  <si>
    <t>Gross margin (LTM)</t>
  </si>
  <si>
    <t>Operating margin (LTM)</t>
  </si>
  <si>
    <t>Net margin (LTM)</t>
  </si>
  <si>
    <t>FCF (LTM)</t>
  </si>
  <si>
    <t>FCF margin (LTM)</t>
  </si>
  <si>
    <t>FCF yield</t>
  </si>
  <si>
    <t>ROIC (LTM)</t>
  </si>
  <si>
    <t>Share count 4y CAGR</t>
  </si>
  <si>
    <t>Quick flags</t>
  </si>
  <si>
    <t>Profitable? (LTM NI&gt;0)</t>
  </si>
  <si>
    <t>FCF positive? (LTM)</t>
  </si>
  <si>
    <t>Growing? (rev CAGR&gt;0)</t>
  </si>
  <si>
    <t>Diluting? (share CAGR&gt;1%)</t>
  </si>
  <si>
    <t>Over-levered? (ND/EBITDA&gt;3x)</t>
  </si>
  <si>
    <t>DENNIS — data template v3 (automated)</t>
  </si>
  <si>
    <t>What changed: the add-in TR formulas are PRE-FILLED. You just set the ticker.</t>
  </si>
  <si>
    <t xml:space="preserve">  1. Set the RIC in Snapshot!B2. Every green cell auto-pulls; grey cells auto-calc.</t>
  </si>
  <si>
    <t xml:space="preserve">  2. Make sure the LSEG/Refinitiv Excel add-in is loaded, then refresh ( / recalc ).</t>
  </si>
  <si>
    <t xml:space="preserve">  3. Verify the mnemonics in the last column against your entitlement — swap any that error.</t>
  </si>
  <si>
    <t xml:space="preserve">  4. Save as data.xlsx into the video workspace ( workspace/&lt;TICKER&gt;/&lt;date&gt;/ ).</t>
  </si>
  <si>
    <t>Peers auto-pull</t>
  </si>
  <si>
    <t xml:space="preserve">  The Peers sheet uses =TR("PEERS(&lt;ric&gt;)",...) to fetch Refinitiv's own peer list — no manual RICs.</t>
  </si>
  <si>
    <t xml:space="preserve">  Peers is optional and mainly for long-form; skip it for daily shorts.</t>
  </si>
  <si>
    <t>Notes</t>
  </si>
  <si>
    <t xml:space="preserve">  Cells show #NAME? until the add-in is loaded (the TR function) — that's expected, not a broken file.</t>
  </si>
  <si>
    <t xml:space="preserve">  % in POINTS. Currency absolute. Don't rename field_key rows. Bot reads sheets by name, periods dynamically.</t>
  </si>
  <si>
    <t xml:space="preserve">  On-screen the videos never name the data vendor.</t>
  </si>
  <si>
    <t>What's new (v3.1 — automation upgrades)</t>
  </si>
  <si>
    <t xml:space="preserve">  RIC auto-suffix: Snapshot!B3 now derives the Refinitiv RIC from the Capital IQ exchange (D9) via the hidden _RICMap table.</t>
  </si>
  <si>
    <t xml:space="preserve">     Set Snapshot!E2 to force a specific RIC. Default suffix .O if the exchange isn't recognised; edit _RICMap to add exchanges.</t>
  </si>
  <si>
    <t xml:space="preserve">  Peers self-scoring: the Peers sheet now has a percentile block (PERCENTRANK.INC) — this ticker's rank vs peers per metric, with a cheap/expensive &amp; strong/weak read.</t>
  </si>
  <si>
    <t xml:space="preserve">  Valuation: WACC (CAPM, auto) + a reverse DCF (implied growth = WACC − FCF/EV) vs historical CAGR. Bear/base/bull multiples auto-suggest from peer P/E percentiles (override anytime).</t>
  </si>
  <si>
    <t xml:space="preserve">  News sheet: Capital IQ Key Developments (dated headlines) for the ticker — feeds headline-driven shorts. Verify IQ_KEY_DEV_* / IQ_NEWS mnemonics against your entitlement.</t>
  </si>
  <si>
    <t>keyword (found in Capital IQ exchange name)</t>
  </si>
  <si>
    <t>RIC suffix</t>
  </si>
  <si>
    <t>derived suffix</t>
  </si>
  <si>
    <t>New York</t>
  </si>
  <si>
    <t>.N</t>
  </si>
  <si>
    <t>NYSE</t>
  </si>
  <si>
    <t>Nasdaq</t>
  </si>
  <si>
    <t>.O</t>
  </si>
  <si>
    <t>London</t>
  </si>
  <si>
    <t>.L</t>
  </si>
  <si>
    <t>Toronto</t>
  </si>
  <si>
    <t>.TO</t>
  </si>
  <si>
    <t>Australian</t>
  </si>
  <si>
    <t>.AX</t>
  </si>
  <si>
    <t>ASX</t>
  </si>
  <si>
    <t>Hong Kong</t>
  </si>
  <si>
    <t>.HK</t>
  </si>
  <si>
    <t>Tokyo</t>
  </si>
  <si>
    <t>.T</t>
  </si>
  <si>
    <t>Frankfurt</t>
  </si>
  <si>
    <t>.F</t>
  </si>
  <si>
    <t>Xetra</t>
  </si>
  <si>
    <t>.DE</t>
  </si>
  <si>
    <t>Deutsche</t>
  </si>
  <si>
    <t>Paris</t>
  </si>
  <si>
    <t>.PA</t>
  </si>
  <si>
    <t>Amsterdam</t>
  </si>
  <si>
    <t>.AS</t>
  </si>
  <si>
    <t>Brussels</t>
  </si>
  <si>
    <t>.BR</t>
  </si>
  <si>
    <t>Lisbon</t>
  </si>
  <si>
    <t>.LS</t>
  </si>
  <si>
    <t>Swiss</t>
  </si>
  <si>
    <t>.S</t>
  </si>
  <si>
    <t>SIX</t>
  </si>
  <si>
    <t>Milan</t>
  </si>
  <si>
    <t>.MI</t>
  </si>
  <si>
    <t>Borsa Italiana</t>
  </si>
  <si>
    <t>Madrid</t>
  </si>
  <si>
    <t>.MC</t>
  </si>
  <si>
    <t>Stockholm</t>
  </si>
  <si>
    <t>.ST</t>
  </si>
  <si>
    <t>Oslo</t>
  </si>
  <si>
    <t>.OL</t>
  </si>
  <si>
    <t>Copenhagen</t>
  </si>
  <si>
    <t>.CO</t>
  </si>
  <si>
    <t>Helsinki</t>
  </si>
  <si>
    <t>.HE</t>
  </si>
  <si>
    <t>Shanghai</t>
  </si>
  <si>
    <t>.SS</t>
  </si>
  <si>
    <t>Shenzhen</t>
  </si>
  <si>
    <t>.SZ</t>
  </si>
  <si>
    <t>Korea</t>
  </si>
  <si>
    <t>.KS</t>
  </si>
  <si>
    <t>KRX</t>
  </si>
  <si>
    <t>Taiwan</t>
  </si>
  <si>
    <t>.TW</t>
  </si>
  <si>
    <t>National Stock Exchange</t>
  </si>
  <si>
    <t>.NS</t>
  </si>
  <si>
    <t>Bombay</t>
  </si>
  <si>
    <t>.BO</t>
  </si>
  <si>
    <t>BSE</t>
  </si>
  <si>
    <t>Singapore</t>
  </si>
  <si>
    <t>.SI</t>
  </si>
  <si>
    <t>Sao Paulo</t>
  </si>
  <si>
    <t>.SA</t>
  </si>
  <si>
    <t>Bovespa</t>
  </si>
  <si>
    <t>Mexican</t>
  </si>
  <si>
    <t>.MX</t>
  </si>
  <si>
    <t>Johannesburg</t>
  </si>
  <si>
    <t>.J</t>
  </si>
  <si>
    <t>NYSE American</t>
  </si>
  <si>
    <t>.A</t>
  </si>
  <si>
    <t>AMEX</t>
  </si>
  <si>
    <t>TSX Venture</t>
  </si>
  <si>
    <t>.V</t>
  </si>
  <si>
    <t>Venture</t>
  </si>
  <si>
    <t>Value (Capital IQ) MM</t>
  </si>
  <si>
    <t>Amazon.com Inc</t>
  </si>
  <si>
    <t>Snap Inc</t>
  </si>
  <si>
    <t>Netflix Inc</t>
  </si>
  <si>
    <t>eBay Inc</t>
  </si>
  <si>
    <t>Microsoft Corp</t>
  </si>
  <si>
    <t>Apple Inc</t>
  </si>
  <si>
    <t>Salesforce Inc</t>
  </si>
  <si>
    <t>Alibaba Group Holding Ltd</t>
  </si>
  <si>
    <t>Baidu Inc</t>
  </si>
  <si>
    <t>AT&amp;T Inc</t>
  </si>
  <si>
    <t>Verizon Communications Inc</t>
  </si>
  <si>
    <t>DoorDash Inc</t>
  </si>
  <si>
    <t>Pinterest Inc</t>
  </si>
  <si>
    <t>Airbnb Inc</t>
  </si>
  <si>
    <t>Reddit Inc</t>
  </si>
  <si>
    <t>Maplebear Inc</t>
  </si>
  <si>
    <t>Booking Holdings Inc</t>
  </si>
  <si>
    <t>Trade Desk Inc</t>
  </si>
  <si>
    <t>Expedia Group Inc</t>
  </si>
  <si>
    <t>Spotify Technology SA</t>
  </si>
  <si>
    <t>NVIDIA Corp</t>
  </si>
  <si>
    <t>Shopify Inc</t>
  </si>
  <si>
    <t>Roku Inc</t>
  </si>
  <si>
    <t>Match Group Inc</t>
  </si>
  <si>
    <t>ETSY Inc</t>
  </si>
  <si>
    <t>Zillow Group Inc</t>
  </si>
  <si>
    <t>Roblox Corp</t>
  </si>
  <si>
    <t>Duolingo Inc</t>
  </si>
  <si>
    <t>Oracle Corp</t>
  </si>
  <si>
    <t>Stubhub Holdings, Inc</t>
  </si>
  <si>
    <t>Walt Disney Co</t>
  </si>
  <si>
    <t>Chewy Inc</t>
  </si>
  <si>
    <t>Wayfair Inc</t>
  </si>
  <si>
    <t>Bumble Inc</t>
  </si>
  <si>
    <t>Liftoff Mobile Inc</t>
  </si>
  <si>
    <t>Applovin Corp</t>
  </si>
  <si>
    <t>Peloton Interactive Inc</t>
  </si>
  <si>
    <t>People Incorporated</t>
  </si>
  <si>
    <t>Tripadvisor Inc</t>
  </si>
  <si>
    <t>Doubleverify Holdings Inc</t>
  </si>
  <si>
    <t>MNTN Inc</t>
  </si>
  <si>
    <t>AQYAAAAFAAAAATEBAAAACy0xODkyNzY2MjU1AwAAAAMxNjACAAAABjEwMDA2MAQAAAABMAcAAAAJNy8xNi8yMDI2aPFb6pjj3gglSF1tmePeCC1DSVEuR09PR0wuSVFfU0hBUkVTT1VUU1RBTkRJTkdfT1VULi4xNy1KVUwtMjYBAAAAqHEAAAIAAAAMMTIyMDIuOTA5NjY5AGjxW+qY494IJUhdbZnj3ggeQ0lRLkdPT0dMLklRX1lFQVJMT1cuMTctSlVMLTI2AQAAAKhxAAACAAAABjE4MC40OABo8VvqmOPeCCVIXW2Z494IIUNJUS5HT09HTC5JUV9DQVNIX09QRVIuLjE3LUpVTC0yNgEAAACocQAAAgAAAAYxNzQzNTMBCAAAAAUAAAABMQEAAAALLTE4OTI3NjUzNTgDAAAAAzE2MAIAAAAEMjAwNgQAAAABMAcAAAAJNy8xNy8yMDI2CAAAAAkzLzMxLzIwMjYJAAAAATAtplzqmOPeCCVIXW2Z494IHUNJUS5HT09HTC5JUV9DQVBFWC4uMTctSlVMLTI2AQAAAKhxAAACAAAABy0xMDk5MjQBCAAAAAUAAAABMQEAAAALLTE4OTI3NjUzNTgDAAAAAzE2MAIAAAAEMjAyMQQAAAABMAcAAAAJNy8xNy8yMDI2CAAAAAkzLzMxLzIwMjYJAAAAATAtplzqmOPeCCVIXW2Z494IIkNJUS5HT09HTC5JUV9UT1RBTF9ERUJULi4xNy1KVUwtMjYBAAAAqHEAAAIAAAAFOTU4NzYBCAAAAAUAAAABMQEAAAALLTE4OTI3NjUzNTgDAAAAAzE2MAIAAAAENDE3MwQAAAABMAcAAAAJNy8xNy8yMDI2CAAAAAkzLzMxLzIwMjYJAAAAATAtplzq</t>
  </si>
  <si>
    <t>mOPeCBlDSVEuRi5JUV9QUklDRV9TQUxFUy4yMDAwAQAAAF+fAQACAAAAETAuMjk3ODE1Nzg4NzgyNzQ2AQcAAAAFAAAAATEBAAAACy0xODkyMjQyMjcwAwAAAAEwAgAAAAUzODk1OAQAAAABMAcAAAAJNy8xNi8yMDI2CAAAAAk3LzE2LzIwMjaDsqNImOPeCCRhzkiY494IFUNJUS5GLklRX1BFX0VYQ0wuMjAwMAEAAABfnwEAAwAAAAJOTQEHAAAABQAAAAExAQAAAAstMTg5MjI0MjI3MAMAAAABMAIAAAAGMTAwMDY2BAAAAAEwBwAAAAk3LzE2LzIwMjYIAAAACTcvMTYvMjAyNoOyo0iY494IJGHOSJjj3gghQ0lRLkYuSVFfVEVWX1RPVEFMX1JFVi4uMTctSlVMLTI2AQAAAF+fAQACAAAAEDEuMDIzNDEwNzUwMDczNDcBBwAAAAUAAAABMQEAAAALLTE4OTIyNDIyNzADAAAAATACAAAABjEwMDA2MQQAAAABMAcAAAAJNy8xNi8yMDI2CAAAAAk3LzE2LzIwMjaDsqNImOPeCLQhT0mY494IHkNJUS5GLklRX1RFVl9FQklUREEuLjE3LUpVTC0yNgEAAABfnwEAAgAAABAzNi4wMDI1NTQ4MzA0MDU4AQcAAAAFAAAAATEBAAAACy0xODkyMjQyMjcwAwAAAAEwAgAAAAYxMDAwNjMEAAAAATAHAAAACTcvMTYvMjAyNggAAAAJNy8xNi8yMDI2g7KjSJjj3gi0IU9JmOPeCBdDSVEuRi5JUV9QQlYuLjE3LUpVTC0yNgEAAABfnwEAAgAAABAxLjUwOTY5OTkwMTY2MjA0AQcAAAAFAAAAATEBAAAACy0xODkyMjQyMjcwAwAAAAEw</t>
  </si>
  <si>
    <t>AgAAAAYxMDAwNjcEAAAAATAHAAAACTcvMTYvMjAyNggAAAAJNy8xNi8yMDI2g7KjSJjj3gi0IU9JmOPeCBZDSVFBVkcuRi5JUV9WT0xVTUUuLTNNAQAAAF+fAQACAAAAEDYwLjM1NDA4NjU4NzMwMTYAg7KjSJjj3ggkYc5ImOPeCBtDSVEuRi5JUV9CRVRBXzVZUi4xNy1KVUwtMjYBAAAAX58BAAIAAAAQMS44MjczNTk2NTUyNjE0NgCDsqNImOPeCLQhT0mY494IHENJUS5GLklRX01BUktFVENBUC4xNy1KVUwtMjYBAAAAX58BAAIAAAALNTY1NDIuNzg4NDIBBgAAAAUAAAABMQEAAAALLTE4OTIyNDQ4ODMDAAAAAzE2MAIAAAAGMTAwMDU0BAAAAAEwBwAAAAk3LzE2LzIwMjaDsqNImOPeCLQhT0mY494IHUNJUS5GLklRX0NMT1NFUFJJQ0UuMTctSlVMLTI2AQAAAF+fAQACAAAABTE0LjE5AIOyo0iY494ItCFPSZjj3ggaQ0lRLkYuSVFfWUVBUkxPVy4xNy1KVUwtMjYBAAAAX58BAAIAAAAFMTAuNjgAg7KjSJjj3gi0IU9JmOPeCBtDSVEuRi5JUV9ZRUFSSElHSC4xNy1KVUwtMjYBAAAAX58BAAIAAAAFMTcuNzgAg7KjSJjj3gi0IU9JmOPeCCFDSVEuRi5JUV9ESVZJREVORF9ZSUVMRC4xNy1KVUwtMjYBAAAAX58BAAIAAAAGNC4yMzEzAIOyo0iY494ItCFPSZjj3ggWQ0lRLkYuSVFfVEVWLjE3LUpVTC0yNgEAAABfnwEAAgAAAA0xOTQzMDUuNzg4NDE5AQYAAAAFAAAAATEBAAAACy0xODkyMjQ0ODgzAwAAAAMx</t>
  </si>
  <si>
    <t>NjACAAAABjEwMDA2MAQAAAABMAcAAAAJNy8xNi8yMDI2g7KjSJjj3gi0IU9JmOPeCClDSVEuRi5JUV9TSEFSRVNPVVRTVEFORElOR19PVVQuLjE3LUpVTC0yNgEAAABfnwEAAgAAAAszOTk1LjgxNTYzMgCDsqNImOPeCLQhT0mY494IHUNJUS5GLklRX01BUktFVENBUC4uMTctSlVMLTI2AQAAAF+fAQACAAAACzU2NTQyLjc4ODQyAQYAAAAFAAAAATEBAAAACy0xODkyMjQ0ODgzAwAAAAMxNjACAAAABjEwMDA1NAQAAAABMAcAAAAJNy8xNi8yMDI2g7KjSJjj3gi0IU9JmOPeCBdDSVEuRi5JUV9URVYuLjE3LUpVTC0yNgEAAABfnwEAAgAAAA0xOTQzMDUuNzg4NDE5AQYAAAAFAAAAATEBAAAACy0xODkyMjQ0ODgzAwAAAAMxNjACAAAABjEwMDA2MAQAAAABMAcAAAAJNy8xNi8yMDI2g7KjSJjj3gi0IU9JmOPeCBFDSVEuRi5JUV9FWENIQU5HRQEAAABfnwEAAwAAAAROWVNFAEAPo0iY494IJGHOSJjj3ggVQ0lRLkYuSVFfQ09NUEFOWV9OQU1FAQAAAF+fAQADAAAAEkZvcmQgTW90b3IgQ29tcGFueQBAD6NImOPeCCRhzkiY494IGENJUS5GLklRX0NPTVBBTllfQUREUkVTUwEAAABfnwEAAwAAAE9PbmUgQW1lcmljYW4gUm9hZCwgUC5PLiBCb3ggMTg5OSwgRGVhcmJvcm4sIE1pY2hpZ2FuLCA0ODEyNi0xODk5LCBVbml0ZWQgU3RhdGVzAEAPo0iY494IJGHOSJjj3ggeQ0lRLkYuSVFfUEVfRVhDTF9GV0RfQ0lR</t>
  </si>
  <si>
    <t>meta</t>
  </si>
  <si>
    <t>Tencent Holdings Ltd</t>
  </si>
  <si>
    <t>Comcast Corp</t>
  </si>
  <si>
    <t>Paypal Holdings Inc</t>
  </si>
  <si>
    <t>Cisco Systems Inc</t>
  </si>
  <si>
    <t>Wix.Com Ltd</t>
  </si>
  <si>
    <t>Unity Software Inc</t>
  </si>
  <si>
    <t>BAABTAVMT0NBTAFI/////wFQHQIAABhDSVEuR09PR0wuSVFfRUJJVERBLjIwMDABAAAAqHEAAAIAAAAGMTYxMzE2AQgAAAAFAAAAATEBAAAACy0xODkyNzY1MzU4AwAAAAMxNjACAAAABDQwNTEEAAAAATAHAAAACTcvMTYvMjAyNggAAAAJMy8zMS8yMDI2CQAAAAEwLaZc6pjj3gglSF1tmePeCBxDSVEuR09PR0wuSVFfQ09NTU9OX1JFUC4yMDAwAQAAAKhxAAACAAAABi0zMDY0MQEIAAAABQAAAAExAQAAAAstMTg5Mjc2NTM1OAMAAAADMTYwAgAAAAQyMTY0BAAAAAEwBwAAAAk3LzE2LzIwMjYIAAAACTMvMzEvMjAyNgkAAAABMC2mXOqY494IJUhdbZnj3gg0Q0lRLkdPT0dMLklRX1RPVEFMX09VVFNUQU5ESU5HX0JTX0RBVEVfQ1MuLjE3LUpVTC0yNgEAAACocQAAAgAAAAUxMjExNgEJAAAABQAAAAIxOQEAAAAIMjk3MTgwNDYCAAAABTMyNjYyCQAAAAItMQMAAAABMAYAAAAJNC8zMC8yMDI2BwAAAAk3LzE3LzIwMjYIAAAAATAEAAAAATAtplzqmOPeCCVIXW2Z494IIUNJUS5HT09HTC5JUV9DTE9TRVBSSUNFLjE3LUpVTC0yNgEAAACocQAAAgAAAAYzNTQuNDYAaPFb6pjj3gglSF1tmePeCB9DSVEuR09PR0wuSVFfWUVBUkhJR0guMTctSlVMLTI2AQAAAKhxAAACAAAABjQwOC42MQBo8VvqmOPeCCVIXW2Z494IGkNJUS5HT09HTC5JUV9URVYuMTctSlVMLTI2AQAAAKhxAAACAAAADjQyOTA5MDQuMzc3NjI5</t>
  </si>
  <si>
    <t>mOPeCCVIXW2Z494IJkNJUS5HT09HTC5JUV9DQVNIX1NUX0lOVkVTVC4uMTctSlVMLTI2AQAAAKhxAAACAAAABjEyNjg0MAEIAAAABQAAAAExAQAAAAstMTg5Mjc2NTM1OAMAAAADMTYwAgAAAAQxMDAyBAAAAAEwBwAAAAk3LzE3LzIwMjYIAAAACTMvMzEvMjAyNgkAAAABMC2mXOqY494IJUhdbZnj3ggaQ0lRLlBMVFIuSVFfUEJWLi4xNy1KVUwtMjYBAAAAZfqYAgIAAAAQMzguMTQwMDU2NjE5OTk3OAEHAAAABQAAAAExAQAAAAstMTg5MTU2OTg0NwMAAAABMAIAAAAGMTAwMDY3BAAAAAEwBwAAAAk3LzE2LzIwMjYIAAAACTcvMTYvMjAyNtfJC4iW494IDynSzprj3gghQ0lRLlBMVFIuSVFfVEVWX0VCSVREQS4uMTctSlVMLTI2AQAAAGX6mAICAAAAEDE1MS45NzQxNzMwNTk0NTgBBwAAAAUAAAABMQEAAAALLTE4OTE1Njk4NDcDAAAAATACAAAABjEwMDA2MwQAAAABMAcAAAAJNy8xNi8yMDI2CAAAAAk3LzE2LzIwMjbXyQuIluPeCA8p0s6a494IJENJUS5QTFRSLklRX1RFVl9UT1RBTF9SRVYuLjE3LUpVTC0yNgEAAABl+pgCAgAAABA2MC4yMTc1MjAzNTU5MjIzAQcAAAAFAAAAATEBAAAACy0xODkxNTY5ODQ3AwAAAAEwAgAAAAYxMDAwNjEEAAAAATAHAAAACTcvMTYvMjAyNggAAAAJNy8xNi8yMDI218kLiJbj3ggPKdLOmuPeCB5DSVEuUExUUi5JUV9CRVRBXzVZUi4xNy1KVUwtMjYBAAAAZfqYAgIAAAAQ</t>
  </si>
  <si>
    <t>MS41NjE1MTgzNTE4MzU2NADXyQuIluPeCA8p0s6a494IIENJUS5QTFRSLklRX01BUktFVENBUC4uMTctSlVMLTI2AQAAAGX6mAICAAAADTMyMjI5NC42MjIxODgBBgAAAAUAAAABMQEAAAALLTE4OTE1NzA5ODMDAAAAAzE2MAIAAAAGMTAwMDU0BAAAAAEwBwAAAAk3LzE2LzIwMjbXyQuIluPeCA8p0s6a494IH0NJUS5QTFRSLklRX01BUktFVENBUC4xNy1KVUwtMjYBAAAAZfqYAgIAAAANMzIyMjk0LjYyMjE4OAEGAAAABQAAAAExAQAAAAstMTg5MTU3MDk4MwMAAAADMTYwAgAAAAYxMDAwNTQEAAAAATAHAAAACTcvMTYvMjAyNtfJC4iW494IDynSzprj3gggQ0lRLlBMVFIuSVFfQ0xPU0VQUklDRS4xNy1KVUwtMjYBAAAAZfqYAgIAAAAGMTM0LjQ0ANfJC4iW494IDynSzprj3ggkQ0lRLlBMVFIuSVFfRElWSURFTkRfWUlFTEQuMTctSlVMLTI2AQAAAGX6mAIDAAAAAADXyQuIluPeCA8p0s6a494IHkNJUS5QTFRSLklRX1lFQVJISUdILjE3LUpVTC0yNgEAAABl+pgCAgAAAAYyMDcuNTIA18kLiJbj3ggPKdLOmuPeCBlDSVEuUExUUi5JUV9URVYuMTctSlVMLTI2AQAAAGX6mAICAAAADTMxNDU4Ni44MDQxODcBBgAAAAUAAAABMQEAAAALLTE4OTE1NzA5ODMDAAAAAzE2MAIAAAAGMTAwMDYwBAAAAAEwBwAAAAk3LzE2LzIwMjbXyQuIluPeCA8p0s6a494ILENJUS5QTFRSLklRX1NIQVJFU09VVFNUQU5ESU5H</t>
  </si>
  <si>
    <t>X09VVC4uMTctSlVMLTI2AQAAAGX6mAICAAAACzI1MzYuOTE1NDE2ANfJC4iW494IDynSzprj3ggdQ0lRLlBMVFIuSVFfWUVBUkxPVy4xNy1KVUwtMjYBAAAAZfqYAgIAAAAGMTA2LjM3ANfJC4iW494IDynSzprj3ggXQ0lRLlBMVFIuSVFfRUJJVERBLjIwMDABAAAAZfqYAgIAAAAIMjAxOC4yNTMBCAAAAAUAAAABMQEAAAALLTE4OTE1Njk4NDcDAAAAAzE2MAIAAAAENDA1MQQAAAABMAcAAAAJNy8xNi8yMDI2CAAAAAkzLzMxLzIwMjYJAAAAATDXyQuIluPeCA8p0s6a494IG0NJUS5QTFRSLklRX0NPTU1PTl9SRVAuMjAwMAEAAABl+pgCAgAAAAgtMTU2LjEwMgEIAAAABQAAAAExAQAAAAstMTg5MTU2OTg0NwMAAAADMTYwAgAAAAQyMTY0BAAAAAEwBwAAAAk3LzE2LzIwMjYIAAAACTMvMzEvMjAyNgkAAAABMNfJC4iW494IDynSzprj3gggQ0lRLlBMVFIuSVFfQ0FTSF9PUEVSLi4xNy1KVUwtMjYBAAAAZfqYAgIAAAAIMjcyMy4zNzUBCAAAAAUAAAABMQEAAAALLTE4OTE1Njk4NDcDAAAAAzE2MAIAAAAEMjAwNgQAAAABMAcAAAAJNy8xNy8yMDI2CAAAAAkzLzMxLzIwMjYJAAAAATDXyQuIluPeCA8p0s6a494IHENJUS5QTFRSLklRX0NBUEVYLi4xNy1KVUwtMjYBAAAAZfqYAgIAAAAHLTM1LjA5OQEIAAAABQAAAAExAQAAAAstMTg5MTU2OTg0NwMAAAADMTYwAgAAAAQyMDIxBAAAAAEwBwAAAAk3LzE3LzIw</t>
  </si>
  <si>
    <t>MjYIAAAACTMvMzEvMjAyNgkAAAABMNfJC4iW494IDynSzprj3gghQ0lRLlBMVFIuSVFfVE9UQUxfREVCVC4uMTctSlVMLTI2AQAAAGX6mAICAAAABzIxMS45NzcBCAAAAAUAAAABMQEAAAALLTE4OTE1Njk4NDcDAAAAAzE2MAIAAAAENDE3MwQAAAABMAcAAAAJNy8xNy8yMDI2CAAAAAkzLzMxLzIwMjYJAAAAATDXyQuIluPeCA8p0s6a494IJUNJUS5QTFRSLklRX0NBU0hfU1RfSU5WRVNULi4xNy1KVUwtMjYBAAAAZfqYAgIAAAAIODAyNi40MTMBCAAAAAUAAAABMQEAAAALLTE4OTE1Njk4NDcDAAAAAzE2MAIAAAAEMTAwMgQAAAABMAcAAAAJNy8xNy8yMDI2CAAAAAkzLzMxLzIwMjYJAAAAATDXyQuIluPeCA8p0s6a494IM0NJUS5QTFRSLklRX1RPVEFMX09VVFNUQU5ESU5HX0JTX0RBVEVfQ1MuLjE3LUpVTC0yNgEAAABl+pgCAgAAAAgyMzk3LjEzMwEJAAAABQAAAAIxOQEAAAAIMjk3NTA3MjgCAAAABTMyNjYyCQAAAAItMQMAAAABMAYAAAAJNS8xMS8yMDI2BwAAAAk3LzE3LzIwMjYIAAAAATAEAAAAATDXyQuIluPeCA8p0s6a494IGENJUS5GLklRX0lORFVTVFJZX1NFQ1RPUgEAAABfnwEAAwAAABZDb25zdW1lciBEaXNjcmV0aW9uYXJ5AEAPo0iY494IJGHOSJjj3ggZQ0lRLkYuSVFfUFJJTUFSWV9JTkRVU1RSWQEAAABfnwEAAwAAABhBdXRvbW9iaWxlIE1hbnVmYWN0dXJlcnMAQA+jSJjj3ggkYc5I</t>
  </si>
  <si>
    <t>LjEwMDAwAQAAAF+fAQADAAAAAACDsqNImOPeCCRhzkiY494IHUNJUS5GLklRX1BFX0VYQ0xfRldEX0NJUS42MDAwAQAAAF+fAQACAAAAEDkuNTYwMDYxOTgyMDc5MDkBDQAAAAUAAAABOQEAAAAHMjYxMzIxNAIAAAAJNzAyOTI4NDI3AwAAAAYxMDAzMDkEAAAAATIGAAAAATAHAAAAAzE2MAgAAAABMAkAAAABMQoAAAABMAsAAAALMTQ4NjY0MzAzOTEMAAAAAjEyDQAAAAk3LzE3LzIwMjaDsqNImOPeCCRhzkiY494IFENJUS5GLklRX0VCSVREQS4yMDAwAQAAAF+fAQACAAAABDc1NzgBCAAAAAUAAAABMQEAAAALLTE4OTIyNDIyNzADAAAAAzE2MAIAAAAENDA1MQQAAAABMAcAAAAJNy8xNi8yMDI2CAAAAAkzLzMxLzIwMjYJAAAAATCDsqNImOPeCLQhT0mY494IE0NJUS5GLklRX0VCSVREQS45OTgBAAAAX58BAAIAAAAEOTQ4NwEIAAAABQAAAAExAQAAAAstMTkwNzI0NTkxNQMAAAADMTYwAgAAAAQ0MDUxBAAAAAEwBwAAAAk3LzE2LzIwMjYIAAAACjEyLzMxLzIwMjMJAAAAATCDsqNImOPeCDw3zkiY494IEENJUS5GLklRX05JLjIwMDABAAAAX58BAAIAAAAFLTYxMDUBCAAAAAUAAAABMQEAAAALLTE4OTIyNDIyNzADAAAAAzE2MAIAAAACMTUEAAAAATAHAAAACTcvMTYvMjAyNggAAAAJMy8zMS8yMDI2CQAAAAEwg7KjSJjj3gg8N85ImOPeCBBDSVEuRi5JUV9OSS4xMDAwAQAAAF+fAQACAAAABS04MTgyAQgA</t>
  </si>
  <si>
    <t>AAAFAAAAATEBAAAACy0xOTA3MjQ1OTE2AwAAAAMxNjACAAAAAjE1BAAAAAEwBwAAAAk3LzE2LzIwMjYIAAAACjEyLzMxLzIwMjUJAAAAATCDsqNImOPeCDw3zkiY494ID0NJUS5GLklRX05JLjk5OQEAAABfnwEAAgAAAAQ1ODc5AQgAAAAFAAAAATEBAAAACy0xOTA3MjQ1OTE4AwAAAAMxNjACAAAAAjE1BAAAAAEwBwAAAAk3LzE2LzIwMjYIAAAACjEyLzMxLzIwMjQJAAAAATCDsqNImOPeCDw3zkiY494ID0NJUS5GLklRX05JLjk5OAEAAABfnwEAAgAAAAQ0MzQ3AQgAAAAFAAAAATEBAAAACy0xOTA3MjQ1OTE1AwAAAAMxNjACAAAAAjE1BAAAAAEwBwAAAAk3LzE2LzIwMjYIAAAACjEyLzMxLzIwMjMJAAAAATCDsqNImOPeCDw3zkiY494ID0NJUS5GLklRX05JLjk5NwEAAABfnwEAAgAAAAUtMTk4MQEIAAAABQAAAAExAQAAAAstMTk2MDY3OTc2MgMAAAADMTYwAgAAAAIxNQQAAAABMAcAAAAJNy8xNi8yMDI2CAAAAAoxMi8zMS8yMDIyCQAAAAEwg7KjSJjj3gg8N85ImOPeCBJDSVEuRi5JUV9DQVBFWC45OTkBAAAAX58BAAIAAAAFLTg2ODQBCAAAAAUAAAABMQEAAAALLTE5MDcyNDU5MTgDAAAAAzE2MAIAAAAEMjAyMQQAAAABMAcAAAAJNy8xNi8yMDI2CAAAAAoxMi8zMS8yMDI0CQAAAAEwg7KjSJjj3gg8N85ImOPeCBhDSVEuRi5JUV9DT01NT05fUkVQLjIwMDABAAAAX58BAAIAAAAELTMxMQEIAAAABQAA</t>
  </si>
  <si>
    <t>AAExAQAAAAstMTg5MjI0MjI3MAMAAAADMTYwAgAAAAQyMTY0BAAAAAEwBwAAAAk3LzE2LzIwMjYIAAAACTMvMzEvMjAyNgkAAAABMIOyo0iY494ItCFPSZjj3ggeQ0lRLkYuSVFfVE9UQUxfREVCVC4uMTctSlVMLTI2AQAAAF+fAQACAAAABjE1OTUxMQEIAAAABQAAAAExAQAAAAstMTg5MjI0MjI3MAMAAAADMTYwAgAAAAQ0MTczBAAAAAEwBwAAAAk3LzE3LzIwMjYIAAAACTMvMzEvMjAyNgkAAAABMIOyo0iY494ItCFPSZjj3ggiQ0lRLkYuSVFfQ0FTSF9TVF9JTlZFU1QuLjE3LUpVTC0yNgEAAABfnwEAAgAAAAUyMTc3OQEIAAAABQAAAAExAQAAAAstMTg5MjI0MjI3MAMAAAADMTYwAgAAAAQxMDAyBAAAAAEwBwAAAAk3LzE3LzIwMjYIAAAACTMvMzEvMjAyNgkAAAABMIOyo0iY494ItCFPSZjj3ggdQ0lRLkYuSVFfQ0FTSF9PUEVSLi4xNy1KVUwtMjYBAAAAX58BAAIAAAAFMTg5MTkBCAAAAAUAAAABMQEAAAALLTE4OTIyNDIyNzADAAAAAzE2MAIAAAAEMjAwNgQAAAABMAcAAAAJNy8xNy8yMDI2CAAAAAkzLzMxLzIwMjYJAAAAATCDsqNImOPeCLQhT0mY494IGUNJUS5GLklRX0NBUEVYLi4xNy1KVUwtMjYBAAAAX58BAAIAAAAFLTkzNzMBCAAAAAUAAAABMQEAAAALLTE4OTIyNDIyNzADAAAAAzE2MAIAAAAEMjAyMQQAAAABMAcAAAAJNy8xNy8yMDI2CAAAAAkzLzMxLzIwMjYJAAAAATCDsqNImOPeCLQh</t>
  </si>
  <si>
    <t>T0mY494IG0NJUS5GLklRX0ZJTElOR19DVVJSRU5DWV9DUwEAAABfnwEAAwAAAANVU0QAg7KjSJjj3ggkYc5ImOPeCBpDSVEuRi5JUV9DQVNIX09QRVJfQ1MuMTAwMAEAAABfnwEAAgAAAAUyMTI4MgEJAAAABQAAAAIxOQEAAAAIMjk0ODMwMDgCAAAABTMyODI0CQAAAAItMQMAAAADMTYwBgAAAAkyLzExLzIwMjYHAAAACTcvMTYvMjAyNggAAAABMAQAAAABMIOyo0iY494IPDfOSJjj3ggZQ0lRLkYuSVFfQ0FTSF9PUEVSX0NTLjk5OQEAAABfnwEAAgAAAAUxNTQyMwEJAAAABQAAAAIxOQEAAAAIMjg0Njc3NjUCAAAABTMyODI0CQAAAAItMQMAAAADMTYwBgAAAAgyLzYvMjAyNQcAAAAJNy8xNi8yMDI2CAAAAAEwBAAAAAEwg7KjSJjj3gg8N85ImOPeCBlDSVEuRi5JUV9DQVNIX09QRVJfQ1MuOTk4AQAAAF+fAQACAAAABTE0OTE4AQkAAAAFAAAAAjE5AQAAAAgyNzQwMjU2NwIAAAAFMzI4MjQJAAAAAi0xAwAAAAMxNjAGAAAACDIvNy8yMDI0BwAAAAk3LzE2LzIwMjYIAAAAATAEAAAAATCDsqNImOPeCDw3zkiY494IGUNJUS5GLklRX0NBU0hfT1BFUl9DUy45OTcBAAAAX58BAAIAAAAENjg1MwEJAAAABQAAAAIxOQEAAAAIMjYzMjQ1OTICAAAABTMyODI0CQAAAAItMQMAAAADMTYwBgAAAAgyLzMvMjAyMwcAAAAJNy8xNi8yMDI2CAAAAAEwBAAAAAEwg7KjSJjj3gg8N85ImOPeCBlDSVEuRi5JUV9DQVNIX09Q</t>
  </si>
  <si>
    <t>RVJfQ1MuOTk2AQAAAF+fAQACAAAABTE1Nzg3AQkAAAAFAAAAAjE5AQAAAAgyNTI1MDYxOQIAAAAFMzI4MjQJAAAAAi0xAwAAAAMxNjAGAAAACDIvNC8yMDIyBwAAAAk3LzE2LzIwMjYIAAAAATAEAAAAATCDsqNImOPeCDw3zkiY494IMENJUS5GLklRX1RPVEFMX09VVFNUQU5ESU5HX0JTX0RBVEVfQ1MuLjE3LUpVTC0yNgEAAABfnwEAAgAAAAgzOTg0LjY5MwEJAAAABQAAAAIxOQEAAAAIMjk3MTg1ODUCAAAABTMyNjYyCQAAAAItMQMAAAABMAYAAAAINS8xLzIwMjYHAAAACTcvMTcvMjAyNggAAAABMAQAAAABMIOyo0iY494ItCFPSZjj3ggOQ0lRLkYuSVFfUEJWLi4BAAAAX58BAAIAAAAQMS41MDk2OTk5MDE2NjIwNAEHAAAABQAAAAExAQAAAAstMTg5MjI0MjI3MAMAAAABMAIAAAAGMTAwMDY3BAAAAAEwBwAAAAk3LzE2LzIwMjYIAAAACTcvMTYvMjAyNlhPxY6X494IJGHOSJjj3ggVQ0lRLkYuSVFfVEVWX0VCSVREQS4uAQAAAF+fAQACAAAAEDM2LjAwMjU1NDgzMDQwNTgBBwAAAAUAAAABMQEAAAALLTE4OTIyNDIyNzADAAAAATACAAAABjEwMDA2MwQAAAABMAcAAAAJNy8xNi8yMDI2CAAAAAk3LzE2LzIwMjZYT8WOl+PeCCRhzkiY494IGENJUS5GLklRX1RFVl9UT1RBTF9SRVYuLgEAAABfnwEAAgAAABAxLjAyMzQxMDc1MDA3MzQ3AQcAAAAFAAAAATEBAAAACy0xODkyMjQyMjcwAwAAAAEwAgAAAAYx</t>
  </si>
  <si>
    <t>MDAwNjEEAAAAATAHAAAACTcvMTYvMjAyNggAAAAJNy8xNi8yMDI2WE/Fjpfj3gg8N85ImOPeCCdDSVEuRi5JUV9UT1RBTF9PVVRTVEFORElOR19CU19EQVRFX0NTLi4BAAAAX58BAAIAAAAIMzk4NC42OTMBCQAAAAUAAAACMTkBAAAACDI5NzE4NTg1AgAAAAUzMjY2MgkAAAACLTEDAAAAATAGAAAACDUvMS8yMDI2BwAAAAk3LzE2LzIwMjYIAAAAATAEAAAAATBYT8WOl+PeCCRhzkiY494IEkNJUS5GLklRX0JFVEFfNVlSLgEAAABfnwEAAgAAABAxLjgyNzM1OTY1NTI2MTQ2AFhPxY6X494IJGHOSJjj3ggOQ0lRLkYuSVFfVEVWLi4BAAAAX58BAAIAAAANMTk0MzA1Ljc4ODQxOQEGAAAABQAAAAExAQAAAAstMTg5MjI0NDg4MwMAAAADMTYwAgAAAAYxMDAwNjAEAAAAATAHAAAACTcvMTYvMjAyNlhPxY6X494IJGHOSJjj3ggUQ0lRLkYuSVFfTUFSS0VUQ0FQLi4BAAAAX58BAAIAAAALNTY1NDIuNzg4NDIBBgAAAAUAAAABMQEAAAALLTE4OTIyNDQ4ODMDAAAAAzE2MAIAAAAGMTAwMDU0BAAAAAEwBwAAAAk3LzE2LzIwMjZYT8WOl+PeCDw3zkiY494IDUNJUS5GLklRX1RFVi4BAAAAX58BAAIAAAANMTk0MzA1Ljc4ODQxOQEGAAAABQAAAAExAQAAAAstMTg5MjI0NDg4MwMAAAADMTYwAgAAAAYxMDAwNjAEAAAAATAHAAAACTcvMTYvMjAyNlhPxY6X494IJGHOSJjj3gggQ0lRLkYuSVFfU0hBUkVTT1VUU1RBTkRJ</t>
  </si>
  <si>
    <t>TkdfT1VULi4BAAAAX58BAAIAAAALMzk5NS44MTU2MzIAWE/Fjpfj3ggkYc5ImOPeCBJDSVEuRi5JUV9ZRUFSSElHSC4BAAAAX58BAAIAAAAFMTcuNzgAWE/Fjpfj3ggkYc5ImOPeCBhDSVEuRi5JUV9ESVZJREVORF9ZSUVMRC4BAAAAX58BAAIAAAAGNC4yMzEzAFhPxY6X494IPDfOSJjj3ggTQ0lRLkYuSVFfTUFSS0VUQ0FQLgEAAABfnwEAAgAAAAs1NjU0Mi43ODg0MgEGAAAABQAAAAExAQAAAAstMTg5MjI0NDg4MwMAAAADMTYwAgAAAAYxMDAwNTQEAAAAATAHAAAACTcvMTYvMjAyNlhPxY6X494IJGHOSJjj3ggUQ0lRLkYuSVFfQ0xPU0VQUklDRS4BAAAAX58BAAIAAAAFMTQuMTkAWE/Fjpfj3ggkYc5ImOPeCBFDSVEuRi5JUV9ZRUFSTE9XLgEAAABfnwEAAgAAAAUxMC42OABYT8WOl+PeCCRhzkiY494IGUNJUS5GLklRX0NBU0hfU1RfSU5WRVNULi4BAAAAX58BAAIAAAAFMjE3NzkBCAAAAAUAAAABMQEAAAALLTE4OTIyNDIyNzADAAAAAzE2MAIAAAAEMTAwMgQAAAABMAcAAAAJNy8xNi8yMDI2CAAAAAkzLzMxLzIwMjYJAAAAATBYT8WOl+PeCDw3zkiY494IFUNJUS5GLklRX1RPVEFMX0RFQlQuLgEAAABfnwEAAgAAAAYxNTk1MTEBCAAAAAUAAAABMQEAAAALLTE4OTIyNDIyNzADAAAAAzE2MAIAAAAENDE3MwQAAAABMAcAAAAJNy8xNi8yMDI2CAAAAAkzLzMxLzIwMjYJAAAAATBYT8WOl+PeCDw3zkiY</t>
  </si>
  <si>
    <t>494IE0NJUS5HT09HTC5JUV9ORVdTLjIBAAAAqHEAAAMAAABKUGF5UGFsIHdlaWdocyBvcHRpb25zIHdpdGggR29sZG1hbiwgRXZlcmNvcmUgYW1pZCBidXlvdXQgYmlkIOKAkyBCbG9vbWJlcmcBAwAAAAUAAAACMTcBAAAACTMyMjczNTk1MAIAAAAENzc3MS2mXOqY494IWV2J6pjj3ggTQ0lRLkdPT0dMLklRX05FV1MuMwEAAACocQAAAwAAAFBCdXJnZW9uaW5nIGFkIGJ1c2luZXNzIGV4cGVjdGVkIHRvIGJvb3N0IE5ldGZsaXgncyBRMiAyMDI2IHJlc3VsdHMsIGFuYWx5c3RzIHNheQEDAAAABQAAAAIxNwEAAAAJMzIyNzM1OTMzAgAAAAQ3NzcxLaZc6pjj3ghZXYnqmOPeCBNDSVEuR09PR0wuSVFfTkVXUy40AQAAAKhxAAADAAAAAAEDAAAABQAAAAIxNwEAAAAJMzIyNzM1OTA1AgAAAAEwLaZc6pjj3gj4NYnqmOPeCBNDSVEuR09PR0wuSVFfTkVXUy41AQAAAKhxAAADAAAATEZDQydzIHZvdGUgb24gVFYtc3RhdGlvbiBvd25lcnNoaXAgY2FwOyBDaGluYSdzIGFwcHJvdmFsIG9mIEFwcGxlJ3MgQUkgdG9vbHMBAwAAAAUAAAACMTcBAAAACTMyMjczNTg4MgIAAAAENzc3MS2mXOqY494IWV2J6pjj3ggTQ0lRLkdPT0dMLklRX05FV1MuNgEAAACocQAAAwAAAAABAwAAAAUAAAACMTcBAAAACTMyMjczNTgxNAIAAAABMC2mXOqY494IWV2J6pjj3ggTQ0lRLkdPT0dMLklRX05FV1MuNwEAAACocQAAAwAAAE9D</t>
  </si>
  <si>
    <t>eXByZXNzIENyZWVrIGJlZ2lucyBjb25zdHJ1Y3Rpb24gb24gMi41LUdXZGMgc29sYXIsIHN0b3JhZ2UgcHJvamVjdCBmb3IgR29vZ2xlAQMAAAAFAAAAAjE3AQAAAAkzMjI3MzU4MDACAAAABDc3NzEtplzqmOPeCFldieqY494IE0NJUS5HT09HTC5JUV9ORVdTLjgBAAAAqHEAAAMAAABARW5lcmd5IHByb2plY3RlZCB0byBsZWFkIFEyIGVhcm5pbmdzIGdhaW5zIGFtb25nIFMmUCA1MDAgc2VjdG9ycwEDAAAABQAAAAIxNwEAAAAJMzIyNzM1Nzk3AgAAAAQ3NzcxLaZc6pjj3ghZXYnqmOPeCBNDSVEuR09PR0wuSVFfTkVXUy45AQAAAKhxAAADAAAAPkdvbGRtYW4gU2FjaHMgdG91dHMgaGlnaC1wcm9maWxlIGVxdWl0eSBhc3NpZ25tZW50cyBpbiBRMiAyMDI2AQMAAAAFAAAAAjE3AQAAAAkzMjI3MzU3ODgCAAAABDc3NzEtplzqmOPeCFldieqY494IFENJUS5HT09HTC5JUV9ORVdTLjEwAQAAAKhxAAADAAAAUTEyIFVTIHN0YXRlcyBzdWUgdG8gYmxvY2sgUGFyYW1vdW50LVdCRCBkZWFsOyBJbnRlbCBpbnZlc3RzIOKCrDVCIGF0IElyZWxhbmQgc2l0ZQEDAAAABQAAAAIxNwEAAAAJMzIyNzM1NzA0AgAAAAQ3NzcxLaZc6pjj3ghZXYnqmOPeCBRDSVEuR09PR0wuSVFfTkVXUy4xMQEAAACocQAAAwAAAE9Nb3JnYW4gU3RhbmxleSwgQ2l0aWdyb3VwIGxlYWQgbWVkaWEsIHRlbGVjb20gZGVidCB1bmRlcndy</t>
  </si>
  <si>
    <t>aXRlcnMgdGhyb3VnaCBRMiAyMDI2AQMAAAAFAAAAAjE3AQAAAAkzMjI3MzU2NjUCAAAABDc3NzEtplzqmOPeCFldieqY494IFENJUS5HT09HTC5JUV9ORVdTLjEyAQAAAKhxAAADAAAATEVVIGFjY2VwdHMgU0FQIGNvbW1pdG1lbnRzOyBCYW5pamF5IEVudGVydGFpbm1lbnQsIEFsbDNNZWRpYSBjb21wbGV0ZSBtZXJnZXIBAwAAAAUAAAACMTcBAAAACTMyMjczNTUzNgIAAAAENzc3MS2mXOqY494I+DWJ6pjj3ggUQ0lRLkdPT0dMLklRX05FV1MuMTMBAAAAqHEAAAMAAABPU29mdEJhbmsgbGF1bmNoZXMgVVMgQUkgY29tcHV0ZSBmaXJtOyBBbGliYWJhLCBBVVMgTWVyY2hhbnQgc2V0dGxlIFVTIERPSiBwcm9iZQEDAAAABQAAAAIxNwEAAAAJMzIyNzM1NDczAgAAAAQ3NzcxLaZc6pjj3ghZXYnqmOPeCBRDSVEuR09PR0wuSVFfTkVXUy4xNAEAAACocQAAAwAAAE9BcHBsZSBjb21taXRzICQzMEIgdG8gQnJvYWRjb20gZGVhbDsgTmV0ZmxpeCwgRGlzbmV5LCBZb3VUdWJlIGV5ZSBXb3JsZCBDdXAgYmlkAQMAAAAFAAAAAjE3AQAAAAkzMjI3MzUzOTMCAAAABDc3NzEtplzqmOPeCPg1ieqY494IFENJUS5HT09HTC5JUV9ORVdTLjE1AQAAAKhxAAADAAAAR0kgU3F1YXJlZCBDYXBpdGFsIHRvIGFjcXVpcmUgTWlsZXN0b25lOyBVbml0eSBpbnZlc3RzIGluIE1lYWRlbiAmIE1vb3JlAQMAAAAFAAAAAjE3AQAA</t>
  </si>
  <si>
    <t>AAkzMjI3MzUzNDkCAAAABDc3NzEtplzqmOPeCFldieqY494IHENJUS5HT09HTC5JUV9JTkRVU1RSWV9TRUNUT1IBAAAAqHEAAAMAAAAWQ29tbXVuaWNhdGlvbiBTZXJ2aWNlcwBo8VvqmOPeCCWrieqY494IHUNJUS5HT09HTC5JUV9QUklNQVJZX0lORFVTVFJZAQAAAKhxAAADAAAAHkludGVyYWN0aXZlIE1lZGlhIGFuZCBTZXJ2aWNlcwBo8VvqmOPeCCWrieqY494IIENJUS5HT09HTC5JUV9NQVJLRVRDQVAuMTctSlVMLTI2AQAAAKhxAAACAAAADjQzMjE4NjguMzc3NjI5AQYAAAAFAAAAATEBAAAACy0xODkyNzY2MjU1AwAAAAMxNjACAAAABjEwMDA1NAQAAAABMAcAAAAJNy8xNi8yMDI2aPFb6pjj3gglSF1tmePeCBtDSVEuR09PR0wuSVFfVEVWLi4xNy1KVUwtMjYBAAAAqHEAAAIAAAAONDI5MDkwNC4zNzc2MjkBBgAAAAUAAAABMQEAAAALLTE4OTI3NjYyNTUDAAAAAzE2MAIAAAAGMTAwMDYwBAAAAAEwBwAAAAk3LzE2LzIwMjZo8VvqmOPeCCVIXW2Z494IJUNJUS5HT09HTC5JUV9ESVZJREVORF9ZSUVMRC4xNy1KVUwtMjYBAAAAqHEAAAIAAAAGMC4yMzcyAGjxW+qY494IJUhdbZnj3gghQ0lRLkdPT0dMLklRX01BUktFVENBUC4uMTctSlVMLTI2AQAAAKhxAAACAAAADjQzMjE4NjguMzc3NjI5AQYAAAAFAAAAATEBAAAACy0xODkyNzY2MjU1AwAAAAMxNjACAAAABjEwMDA1NAQAAAABMAcAAAAJNy8x</t>
  </si>
  <si>
    <t>Ni8yMDI2aPFb6pjj3gglSF1tmePeCBpDSVFBVkcuR09PR0wuSVFfVk9MVU1FLi0zTQEAAACocQAAAgAAABAzMS40OTE4NDg2MTkwNDc2AGjxW+qY494IJauJ6pjj3ggZQ0lRLkdPT0dMLklRX0NPTVBBTllfTkFNRQEAAACocQAAAwAAAA1BbHBoYWJldCBJbmMuAGjxW+qY494IJauJ6pjj3ggVQ0lRLkdPT0dMLklRX0VYQ0hBTkdFAQAAAKhxAAADAAAACE5hc2RhcUdTAGjxW+qY494IJauJ6pjj3ggcQ0lRLkdPT0dMLklRX0NPTVBBTllfQUREUkVTUwEAAACocQAAAwAAAEoxNjAwIEFtcGhpdGhlYXRyZSBQYXJrd2F5LCBNb3VudGFpbiBWaWV3LCBDYWxpZm9ybmlhLCA5NDA0MywgVW5pdGVkIFN0YXRlcwBo8VvqmOPeCGDiieqY494IGUNJUS5HT09HTC5JUV9QRV9FWENMLjIwMDABAAAAqHEAAAIAAAAQMjcuMDQyODc5NTEyMDE2NgEHAAAABQAAAAExAQAAAAstMTg5Mjc2NTM1OAMAAAABMAIAAAAGMTAwMDY2BAAAAAEwBwAAAAk3LzE2LzIwMjYIAAAACTcvMTYvMjAyNmjxW+qY494IJauJ6pjj3ggdQ0lRLkdPT0dMLklRX1BSSUNFX1NBTEVTLjIwMDABAAAAqHEAAAIAAAAQMTAuMTQ3MjUyMjQzNDExMwEHAAAABQAAAAExAQAAAAstMTg5Mjc2NTM1OAMAAAABMAIAAAAFMzg5NTgEAAAAATAHAAAACTcvMTYvMjAyNggAAAAJNy8xNi8yMDI2aPFb6pjj3gglq4nqmOPeCCJDSVEuR09PR0wuSVFfVEVWX0VCSVRE</t>
  </si>
  <si>
    <t>QS4uMTctSlVMLTI2AQAAAKhxAAACAAAAEDI1LjcwODIwMDc5MTAyODgBBwAAAAUAAAABMQEAAAALLTE4OTI3NjUzNTgDAAAAATACAAAABjEwMDA2MwQAAAABMAcAAAAJNy8xNi8yMDI2CAAAAAk3LzE2LzIwMjZo8VvqmOPeCCVIXW2Z494IG0NJUS5HT09HTC5JUV9QQlYuLjE3LUpVTC0yNgEAAACocQAAAgAAABA4Ljk3MDU5NzAzNzE5MjQ1AQcAAAAFAAAAATEBAAAACy0xODkyNzY1MzU4AwAAAAEwAgAAAAYxMDAwNjcEAAAAATAHAAAACTcvMTYvMjAyNggAAAAJNy8xNi8yMDI2aPFb6pjj3gglSF1tmePeCCVDSVEuR09PR0wuSVFfVEVWX1RPVEFMX1JFVi4uMTctSlVMLTI2AQAAAKhxAAACAAAAEDEwLjE1NjAzNDc2ODUxNzMBBwAAAAUAAAABMQEAAAALLTE4OTI3NjUzNTgDAAAAATACAAAABjEwMDA2MQQAAAABMAcAAAAJNy8xNi8yMDI2CAAAAAk3LzE2LzIwMjZo8VvqmOPeCCVIXW2Z494IH0NJUS5HT09HTC5JUV9CRVRBXzVZUi4xNy1KVUwtMjYBAAAAqHEAAAIAAAAPMS4yNDY4MDkyODk2MDQyAGjxW+qY494IJUhdbZnj3ggtQ0lRUkFOR0UuR09PR0wuSVFfTkVXUy4xLjI1Li4uLi5ORVdTIEhFQURMSU5FAwAAAKhxAAAZAAAAAAAAAAMAAAAAAAAAByJnb29nbCIFZ29vZ2wBAAAACSJJUV9ORVdTIgdJUV9ORVdTAgAAAAExATEAAAAAAwAAAAAAAAAHImdvb2dsIgVnb29nbAEAAAAJIklRX05FV1MiB0lR</t>
  </si>
  <si>
    <t>X05FV1MCAAAAATIBMgAAAAADAAAAAAAAAAciZ29vZ2wiBWdvb2dsAQAAAAkiSVFfTkVXUyIHSVFfTkVXUwIAAAABMwEzAAAAAAMAAAAAAAAAByJnb29nbCIFZ29vZ2wBAAAACSJJUV9ORVdTIgdJUV9ORVdTAgAAAAE0ATQAAAAAAwAAAAAAAAAHImdvb2dsIgVnb29nbAEAAAAJIklRX05FV1MiB0lRX05FV1MCAAAAATUBNQAAAAADAAAAAAAAAAciZ29vZ2wiBWdvb2dsAQAAAAkiSVFfTkVXUyIHSVFfTkVXUwIAAAABNgE2AAAAAAMAAAAAAAAAByJnb29nbCIFZ29vZ2wBAAAACSJJUV9ORVdTIgdJUV9ORVdTAgAAAAE3ATcAAAAAAwAAAAAAAAAHImdvb2dsIgVnb29nbAEAAAAJIklRX05FV1MiB0lRX05FV1MCAAAAATgBOAAAAAADAAAAAAAAAAciZ29vZ2wiBWdvb2dsAQAAAAkiSVFfTkVXUyIHSVFfTkVXUwIAAAABOQE5AAAAAAMAAAAAAAAAByJnb29nbCIFZ29vZ2wBAAAACSJJUV9ORVdTIgdJUV9ORVdTAgAAAAIxMAIxMAAAAAADAAAAAAAAAAciZ29vZ2wiBWdvb2dsAQAAAAkiSVFfTkVXUyIHSVFfTkVXUwIAAAACMTECMTEAAAAAAwAAAAAAAAAHImdvb2dsIgVnb29nbAEAAAAJIklRX05FV1MiB0lRX05FV1MCAAAAAjEyAjEyAAAAAAMAAAAAAAAAByJnb29nbCIFZ29vZ2wBAAAACSJJUV9ORVdTIgdJUV9ORVdTAgAAAAIxMwIxMwAAAAADAAAAAAAAAAciZ29vZ2wiBWdvb2dsAQAAAAkiSVFfTkVXUyIHSVFf</t>
  </si>
  <si>
    <t>TkVXUwIAAAACMTQCMTQAAAAAAwAAAAAAAAAHImdvb2dsIgVnb29nbAEAAAAJIklRX05FV1MiB0lRX05FV1MCAAAAAjE1AjE1AAAAAAMAAAAAAAAAByJnb29nbCIFZ29vZ2wBAAAACSJJUV9ORVdTIgdJUV9ORVdTAgAAAAIxNgIxNgAAAAADAAAAAAAAAAciZ29vZ2wiBWdvb2dsAQAAAAkiSVFfTkVXUyIHSVFfTkVXUwIAAAACMTcCMTcAAAAAAwAAAAAAAAAHImdvb2dsIgVnb29nbAEAAAAJIklRX05FV1MiB0lRX05FV1MCAAAAAjE4AjE4AAAAAAMAAAAAAAAAByJnb29nbCIFZ29vZ2wBAAAACSJJUV9ORVdTIgdJUV9ORVdTAgAAAAIxOQIxOQAAAAADAAAAAAAAAAciZ29vZ2wiBWdvb2dsAQAAAAkiSVFfTkVXUyIHSVFfTkVXUwIAAAACMjACMjAAAAAAAwAAAAAAAAAHImdvb2dsIgVnb29nbAEAAAAJIklRX05FV1MiB0lRX05FV1MCAAAAAjIxAjIxAAAAAAMAAAAAAAAAByJnb29nbCIFZ29vZ2wBAAAACSJJUV9ORVdTIgdJUV9ORVdTAgAAAAIyMgIyMgAAAAADAAAAAAAAAAciZ29vZ2wiBWdvb2dsAQAAAAkiSVFfTkVXUyIHSVFfTkVXUwIAAAACMjMCMjMAAAAAAwAAAAAAAAAHImdvb2dsIgVnb29nbAEAAAAJIklRX05FV1MiB0lRX05FV1MCAAAAAjI0AjI0AAAAAAMAAAAAAAAAByJnb29nbCIFZ29vZ2wBAAAACSJJUV9ORVdTIgdJUV9ORVdTAgAAAAIyNQIyNS2mXOqY494ILaZc6pjj3ggTQ0lRLmdvb2dsLklR</t>
  </si>
  <si>
    <t>X05FV1MuMQEAAACocQAAAwAAAE5OZXRmbGl4IFEyJzI2IGVhcm5pbmdzIGV4cGVjdGF0aW9uczsgQUkgc3RhcnR1cCBGaXJld29ya3MnICQxLjVCIGZ1bmRpbmcgcm91bmQBAwAAAAUAAAACMTcBAAAACTMyMjczNTk4NwIAAAAENzc3MS2mXOqY494IWV2J6pjj3ggUQ0lRLmdvb2dsLklRX05FV1MuMTYBAAAAqHEAAAMAAABIQW1hem9uIHNlZWtzIHRvIHJhaXNlICQyNUIgZnJvbSBib25kIHNhbGU7IERlZXBTZWVrIHdvcmtzIG9uIG93biBBSSBjaGlwAQMAAAAFAAAAAjE3AQAAAAkzMjI3MzUzNDgCAAAABDc3NzEtplzqmOPeCPg1ieqY494IFENJUS5nb29nbC5JUV9ORVdTLjE3AQAAAKhxAAADAAAAT0dvb2dsZSBpbnZlc3RzIGluIG51Y2xlYXIgZnVzaW9uIHN0YXJ0dXA7IGRhdGEgY2VudGVyIGNvbXBhbnkgQ3NxdWFyZSBwbGFucyBJUE8BAwAAAAUAAAACMTcBAAAACTMyMjczNTMwOQIAAAAENzc3MS2mXOqY494IWV2J6pjj3ggUQ0lRLmdvb2dsLklRX05FV1MuMTgBAAAAqHEAAAMAAABGTWljcm9zb2Z0IGZvcm1zICQyLjVCIEFJIGRlcGxveW1lbnQgYXJtOyBDb21jYXN0J3MgU2t5IHRvIGJ1eSBJVFYgdW5pdAEDAAAABQAAAAIxNwEAAAAJMzIyNzM1MjE2AgAAAAQ3NzcxLaZc6pjj3ghZXYnqmOPeCBRDSVEuZ29vZ2wuSVFfTkVXUy4xOQEAAACocQAAAwAAAExHb29nbGUncyDigqw0LjEyQiBmaW5l</t>
  </si>
  <si>
    <t>IHVwaGVsZCBieSBFVSBjb3VydDsgRGFzc2F1bHQgU3lzdMOobWVzIGZhY2VzIFVLIHByb2JlAQMAAAAFAAAAAjE3AQAAAAkzMjI3MzUxNTcCAAAABDc3NzEtplzqmOPeCPg1ieqY494IFENJUS5nb29nbC5JUV9ORVdTLjIwAQAAAKhxAAADAAAARkdvb2dsZSwgQW1hem9uIG1haW50YWluIG5ldC16ZXJvIGFtYml0aW9ucyBhcyBjYXJib24gZm9vdHByaW50cyBleHBhbmQBAwAAAAUAAAACMTcBAAAACTMyMjczNTE0NgIAAAAENzc3MS2mXOqY494IWV2J6pjj3ggUQ0lRLmdvb2dsLklRX05FV1MuMjEBAAAAqHEAAAMAAABQTWVnYS1jYXAgdGVjaCBzdG9ja3MgbGVhZCBTJlAgNTAwIGxvc3NlcyBpbiBKdW5lOyBab29tIGFncmVlcyB0byBhY3F1aXJlIEFJIGZpcm0BAwAAAAUAAAACMTcBAAAACTMyMjczNTEzNQIAAAAENzc3MS2mXOqY494I+DWJ6pjj3ggUQ0lRLmdvb2dsLklRX05FV1MuMjIBAAAAqHEAAAMAAABCV2hhdCdzIGRyaXZpbmcgcG9kY2FzdGluZydzIGZ1dHVyZSBhdWRpZW5jZSBhbmQgYWR2ZXJ0aXNpbmcgZ3Jvd3RoAQMAAAAFAAAAAjE3AQAAAAkzMjI3MzUxMDYCAAAABDc3NzEtplzqmOPeCFldieqY494IFENJUS5nb29nbC5JUV9ORVdTLjIzAQAAAKhxAAADAAAARUFwcGxlIHBsYW5zIDUgbmV3IGlQaG9uZSBtb2RlbHM7IFNvZnRCYW5rIGZvcm1pbmcgVVMgbmVvY2xvdWQgY29tcGFueQED</t>
  </si>
  <si>
    <t>AAAABQAAAAIxNwEAAAAJMzIyNzM1MDg1AgAAAAQ3NzcxLaZc6pjj3ghZXYnqmOPeCBRDSVEuZ29vZ2wuSVFfTkVXUy4yNAEAAACocQAAAwAAAE1FVSdzIGRhdGEgY2VudGVyIHJ1bGVzOyBQYXJhbW91bnQtV0JEIGRlYWwgY29uY2Vzc2lvbnM7IFRpa1RvaydzIG5ldyBqb2IgY3V0cwEDAAAABQAAAAIxNwEAAAAJMzIyNzM1MDU4AgAAAAQ3NzcxLaZc6pjj3ghZXYnqmOPeCBRDSVEuZ29vZ2wuSVFfTkVXUy4yNQEAAACocQAAAwAAAEJORVhUREMgZGVidXRzIEtMMSBpbiBNYWxheXNpYSwgbWFya2luZyAxc3QgaW50ZXJuYXRpb25hbCBleHBhbnNpb24BAwAAAAUAAAACMTcBAAAACTMyMjczNTQwMgIAAAAENzc3MS2mXOqY494IWV2J6pjj3ggoQ0lRUkFOR0UuR09PR0wuSVFfTkVXUy4xLjI1Li4uLi5ORVdTIFVSTAMAAACocQAAGQAAAAAAAAADAAAAAAAAAAciZ29vZ2wiBWdvb2dsAQAAAAkiSVFfTkVXUyIHSVFfTkVXUwIAAAABMQExAAAAAAMAAAAAAAAAByJnb29nbCIFZ29vZ2wBAAAACSJJUV9ORVdTIgdJUV9ORVdTAgAAAAEyATIAAAAAAwAAAAAAAAAHImdvb2dsIgVnb29nbAEAAAAJIklRX05FV1MiB0lRX05FV1MCAAAAATMBMwAAAAADAAAAAAAAAAciZ29vZ2wiBWdvb2dsAQAAAAkiSVFfTkVXUyIHSVFfTkVXUwIAAAABNAE0AAAAAAMAAAAAAAAAByJnb29nbCIFZ29vZ2wBAAAACSJJUV9ORVdTIgdJ</t>
  </si>
  <si>
    <t>UV9ORVdTAgAAAAE1ATUAAAAAAwAAAAAAAAAHImdvb2dsIgVnb29nbAEAAAAJIklRX05FV1MiB0lRX05FV1MCAAAAATYBNgAAAAADAAAAAAAAAAciZ29vZ2wiBWdvb2dsAQAAAAkiSVFfTkVXUyIHSVFfTkVXUwIAAAABNwE3AAAAAAMAAAAAAAAAByJnb29nbCIFZ29vZ2wBAAAACSJJUV9ORVdTIgdJUV9ORVdTAgAAAAE4ATgAAAAAAwAAAAAAAAAHImdvb2dsIgVnb29nbAEAAAAJIklRX05FV1MiB0lRX05FV1MCAAAAATkBOQAAAAADAAAAAAAAAAciZ29vZ2wiBWdvb2dsAQAAAAkiSVFfTkVXUyIHSVFfTkVXUwIAAAACMTACMTAAAAAAAwAAAAAAAAAHImdvb2dsIgVnb29nbAEAAAAJIklRX05FV1MiB0lRX05FV1MCAAAAAjExAjExAAAAAAMAAAAAAAAAByJnb29nbCIFZ29vZ2wBAAAACSJJUV9ORVdTIgdJUV9ORVdTAgAAAAIxMgIxMgAAAAADAAAAAAAAAAciZ29vZ2wiBWdvb2dsAQAAAAkiSVFfTkVXUyIHSVFfTkVXUwIAAAACMTMCMTMAAAAAAwAAAAAAAAAHImdvb2dsIgVnb29nbAEAAAAJIklRX05FV1MiB0lRX05FV1MCAAAAAjE0AjE0AAAAAAMAAAAAAAAAByJnb29nbCIFZ29vZ2wBAAAACSJJUV9ORVdTIgdJUV9ORVdTAgAAAAIxNQIxNQAAAAADAAAAAAAAAAciZ29vZ2wiBWdvb2dsAQAAAAkiSVFfTkVXUyIHSVFfTkVXUwIAAAACMTYCMTYAAAAAAwAAAAAAAAAHImdvb2dsIgVnb29nbAEAAAAJIklRX05F</t>
  </si>
  <si>
    <t>V1MiB0lRX05FV1MCAAAAAjE3AjE3AAAAAAMAAAAAAAAAByJnb29nbCIFZ29vZ2wBAAAACSJJUV9ORVdTIgdJUV9ORVdTAgAAAAIxOAIxOAAAAAADAAAAAAAAAAciZ29vZ2wiBWdvb2dsAQAAAAkiSVFfTkVXUyIHSVFfTkVXUwIAAAACMTkCMTkAAAAAAwAAAAAAAAAHImdvb2dsIgVnb29nbAEAAAAJIklRX05FV1MiB0lRX05FV1MCAAAAAjIwAjIwAAAAAAMAAAAAAAAAByJnb29nbCIFZ29vZ2wBAAAACSJJUV9ORVdTIgdJUV9ORVdTAgAAAAIyMQIyMQAAAAADAAAAAAAAAAciZ29vZ2wiBWdvb2dsAQAAAAkiSVFfTkVXUyIHSVFfTkVXUwIAAAACMjICMjIAAAAAAwAAAAAAAAAHImdvb2dsIgVnb29nbAEAAAAJIklRX05FV1MiB0lRX05FV1MCAAAAAjIzAjIzAAAAAAMAAAAAAAAAByJnb29nbCIFZ29vZ2wBAAAACSJJUV9ORVdTIgdJUV9ORVdTAgAAAAIyNAIyNAAAAAADAAAAAAAAAAciZ29vZ2wiBWdvb2dsAQAAAAkiSVFfTkVXUyIHSVFfTkVXUwIAAAACMjUCMjUtplzqmOPeCC2mXOqY494IK0NJUVJBTkdFLkdPT0dMLklRX05FV1MuMS4yNS4uLi4uTkVXUyBTT1VSQ0UDAAAAqHEAABkAAAAAAAAAAwAAAAAAAAAHImdvb2dsIgVnb29nbAEAAAAJIklRX05FV1MiB0lRX05FV1MCAAAAATEBMQAAAAADAAAAAAAAAAciZ29vZ2wiBWdvb2dsAQAAAAkiSVFfTkVXUyIHSVFfTkVXUwIAAAABMgEyAAAAAAMAAAAAAAAA</t>
  </si>
  <si>
    <t>ByJnb29nbCIFZ29vZ2wBAAAACSJJUV9ORVdTIgdJUV9ORVdTAgAAAAEzATMAAAAAAwAAAAAAAAAHImdvb2dsIgVnb29nbAEAAAAJIklRX05FV1MiB0lRX05FV1MCAAAAATQBNAAAAAADAAAAAAAAAAciZ29vZ2wiBWdvb2dsAQAAAAkiSVFfTkVXUyIHSVFfTkVXUwIAAAABNQE1AAAAAAMAAAAAAAAAByJnb29nbCIFZ29vZ2wBAAAACSJJUV9ORVdTIgdJUV9ORVdTAgAAAAE2ATYAAAAAAwAAAAAAAAAHImdvb2dsIgVnb29nbAEAAAAJIklRX05FV1MiB0lRX05FV1MCAAAAATcBNwAAAAADAAAAAAAAAAciZ29vZ2wiBWdvb2dsAQAAAAkiSVFfTkVXUyIHSVFfTkVXUwIAAAABOAE4AAAAAAMAAAAAAAAAByJnb29nbCIFZ29vZ2wBAAAACSJJUV9ORVdTIgdJUV9ORVdTAgAAAAE5ATkAAAAAAwAAAAAAAAAHImdvb2dsIgVnb29nbAEAAAAJIklRX05FV1MiB0lRX05FV1MCAAAAAjEwAjEwAAAAAAMAAAAAAAAAByJnb29nbCIFZ29vZ2wBAAAACSJJUV9ORVdTIgdJUV9ORVdTAgAAAAIxMQIxMQAAAAADAAAAAAAAAAciZ29vZ2wiBWdvb2dsAQAAAAkiSVFfTkVXUyIHSVFfTkVXUwIAAAACMTICMTIAAAAAAwAAAAAAAAAHImdvb2dsIgVnb29nbAEAAAAJIklRX05FV1MiB0lRX05FV1MCAAAAAjEzAjEzAAAAAAMAAAAAAAAAByJnb29nbCIFZ29vZ2wBAAAACSJJUV9ORVdTIgdJUV9ORVdTAgAAAAIxNAIxNAAAAAADAAAAAAAA</t>
  </si>
  <si>
    <t>AAciZ29vZ2wiBWdvb2dsAQAAAAkiSVFfTkVXUyIHSVFfTkVXUwIAAAACMTUCMTUAAAAAAwAAAAAAAAAHImdvb2dsIgVnb29nbAEAAAAJIklRX05FV1MiB0lRX05FV1MCAAAAAjE2AjE2AAAAAAMAAAAAAAAAByJnb29nbCIFZ29vZ2wBAAAACSJJUV9ORVdTIgdJUV9ORVdTAgAAAAIxNwIxNwAAAAADAAAAAAAAAAciZ29vZ2wiBWdvb2dsAQAAAAkiSVFfTkVXUyIHSVFfTkVXUwIAAAACMTgCMTgAAAAAAwAAAAAAAAAHImdvb2dsIgVnb29nbAEAAAAJIklRX05FV1MiB0lRX05FV1MCAAAAAjE5AjE5AAAAAAMAAAAAAAAAByJnb29nbCIFZ29vZ2wBAAAACSJJUV9ORVdTIgdJUV9ORVdTAgAAAAIyMAIyMAAAAAADAAAAAAAAAAciZ29vZ2wiBWdvb2dsAQAAAAkiSVFfTkVXUyIHSVFfTkVXUwIAAAACMjECMjEAAAAAAwAAAAAAAAAHImdvb2dsIgVnb29nbAEAAAAJIklRX05FV1MiB0lRX05FV1MCAAAAAjIyAjIyAAAAAAMAAAAAAAAAByJnb29nbCIFZ29vZ2wBAAAACSJJUV9ORVdTIgdJUV9ORVdTAgAAAAIyMwIyMwAAAAADAAAAAAAAAAciZ29vZ2wiBWdvb2dsAQAAAAkiSVFfTkVXUyIHSVFfTkVXUwIAAAACMjQCMjQAAAAAAwAAAAAAAAAHImdvb2dsIgVnb29nbAEAAAAJIklRX05FV1MiB0lRX05FV1MCAAAAAjI1AjI1LaZc6pjj3ggtplzqmOPeCClDSVFSQU5HRS5HT09HTC5JUV9ORVdTLjEuMjUuLi4uLk5FV1Mg</t>
  </si>
  <si>
    <t>REFURQMAAACocQAAGQAAAAAAAAADAAAAAAAAAAciZ29vZ2wiBWdvb2dsAQAAAAkiSVFfTkVXUyIHSVFfTkVXUwIAAAABMQExAAAAAAMAAAAAAAAAByJnb29nbCIFZ29vZ2wBAAAACSJJUV9ORVdTIgdJUV9ORVdTAgAAAAEyATIAAAAAAwAAAAAAAAAHImdvb2dsIgVnb29nbAEAAAAJIklRX05FV1MiB0lRX05FV1MCAAAAATMBMwAAAAADAAAAAAAAAAciZ29vZ2wiBWdvb2dsAQAAAAkiSVFfTkVXUyIHSVFfTkVXUwIAAAABNAE0AAAAAAMAAAAAAAAAByJnb29nbCIFZ29vZ2wBAAAACSJJUV9ORVdTIgdJUV9ORVdTAgAAAAE1ATUAAAAAAwAAAAAAAAAHImdvb2dsIgVnb29nbAEAAAAJIklRX05FV1MiB0lRX05FV1MCAAAAATYBNgAAAAADAAAAAAAAAAciZ29vZ2wiBWdvb2dsAQAAAAkiSVFfTkVXUyIHSVFfTkVXUwIAAAABNwE3AAAAAAMAAAAAAAAAByJnb29nbCIFZ29vZ2wBAAAACSJJUV9ORVdTIgdJUV9ORVdTAgAAAAE4ATgAAAAAAwAAAAAAAAAHImdvb2dsIgVnb29nbAEAAAAJIklRX05FV1MiB0lRX05FV1MCAAAAATkBOQAAAAADAAAAAAAAAAciZ29vZ2wiBWdvb2dsAQAAAAkiSVFfTkVXUyIHSVFfTkVXUwIAAAACMTACMTAAAAAAAwAAAAAAAAAHImdvb2dsIgVnb29nbAEAAAAJIklRX05FV1MiB0lRX05FV1MCAAAAAjExAjExAAAAAAMAAAAAAAAAByJnb29nbCIFZ29vZ2wBAAAACSJJUV9ORVdTIgdJUV9O</t>
  </si>
  <si>
    <t>RVdTAgAAAAIxMgIxMgAAAAADAAAAAAAAAAciZ29vZ2wiBWdvb2dsAQAAAAkiSVFfTkVXUyIHSVFfTkVXUwIAAAACMTMCMTMAAAAAAwAAAAAAAAAHImdvb2dsIgVnb29nbAEAAAAJIklRX05FV1MiB0lRX05FV1MCAAAAAjE0AjE0AAAAAAMAAAAAAAAAByJnb29nbCIFZ29vZ2wBAAAACSJJUV9ORVdTIgdJUV9ORVdTAgAAAAIxNQIxNQAAAAADAAAAAAAAAAciZ29vZ2wiBWdvb2dsAQAAAAkiSVFfTkVXUyIHSVFfTkVXUwIAAAACMTYCMTYAAAAAAwAAAAAAAAAHImdvb2dsIgVnb29nbAEAAAAJIklRX05FV1MiB0lRX05FV1MCAAAAAjE3AjE3AAAAAAMAAAAAAAAAByJnb29nbCIFZ29vZ2wBAAAACSJJUV9ORVdTIgdJUV9ORVdTAgAAAAIxOAIxOAAAAAADAAAAAAAAAAciZ29vZ2wiBWdvb2dsAQAAAAkiSVFfTkVXUyIHSVFfTkVXUwIAAAACMTkCMTkAAAAAAwAAAAAAAAAHImdvb2dsIgVnb29nbAEAAAAJIklRX05FV1MiB0lRX05FV1MCAAAAAjIwAjIwAAAAAAMAAAAAAAAAByJnb29nbCIFZ29vZ2wBAAAACSJJUV9ORVdTIgdJUV9ORVdTAgAAAAIyMQIyMQAAAAADAAAAAAAAAAciZ29vZ2wiBWdvb2dsAQAAAAkiSVFfTkVXUyIHSVFfTkVXUwIAAAACMjICMjIAAAAAAwAAAAAAAAAHImdvb2dsIgVnb29nbAEAAAAJIklRX05FV1MiB0lRX05FV1MCAAAAAjIzAjIzAAAAAAMAAAAAAAAAByJnb29nbCIFZ29vZ2wBAAAA</t>
  </si>
  <si>
    <t>CSJJUV9ORVdTIgdJUV9ORVdTAgAAAAIyNAIyNAAAAAADAAAAAAAAAAciZ29vZ2wiBWdvb2dsAQAAAAkiSVFfTkVXUyIHSVFfTkVXUwIAAAACMjUCMjVo8VvqmOPeCGjxW+qY494IGUNJUS5HT09HTC5JUV9QRUdfRldELjYwMDABAAAAqHEAAAIAAAAQMS43ODMyNTk4ODA3MTE4NgENAAAABQAAAAE5AQAAAAgxMTMxMTY2MgIAAAAJNzA4OTM4NDg0AwAAAAYxMDAzMTEEAAAAATIGAAAAATAHAAAAAzE2MAgAAAABMAkAAAABMQoAAAABMAsAAAALMTQ4Njg3Mzc0MDEMAAAAAjEyDQAAAAk3LzE3LzIwMjYtplzqmOPeCCWrieqY494IIUNJUS5HT09HTC5JUV9QRV9FWENMX0ZXRF9DSVEuNjAwMAEAAACocQAAAgAAABAyOC4wMDc5MzMxODQyNTY5AQ0AAAAFAAAAATkBAAAACDExMzExNjYyAgAAAAk3MDg5Mzg0ODQDAAAABjEwMDMwOQQAAAABMgYAAAABMAcAAAADMTYwCAAAAAEwCQAAAAExCgAAAAEwCwAAAAsxNDg2ODczNzQwMQwAAAACMTINAAAACTcvMTcvMjAyNi2mXOqY494IJauJ6pjj3ggiQ0lRLkdPT0dMLklRX1BFX0VYQ0xfRldEX0NJUS4xMDAwMAEAAACocQAAAwAAAAAALaZc6pjj3gglq4nqmOPeCB5DSVEuR09PR0wuSVFfQ0FTSF9PUEVSX0NTLjIwMDABAAAAqHEAAAIAAAAGMTc0MzUzAQkAAAAFAAAAAjE5AQAAAAgyOTcxODA0NgIAAAAFMzI4MjQJAAAAAi0xAwAAAAMxNjAGAAAACTQvMzAvMjAyNgcA</t>
  </si>
  <si>
    <t>AAAJNy8xNi8yMDI2CAAAAAEwBAAAAAEwLaZc6pjj3ghThInqmOPeCB1DSVEuR09PR0wuSVFfQ0FTSF9PUEVSX0NTLjk5NgEAAACocQAAAgAAAAU5MTY1MgEJAAAABQAAAAIxOQEAAAAIMjUyMzI4OTUCAAAABTMyODI0CQAAAAItMQMAAAADMTYwBgAAAAgyLzIvMjAyMgcAAAAJNy8xNi8yMDI2CAAAAAEwBAAAAAEwLaZc6pjj3ghThInqmOPeCB1DSVEuR09PR0wuSVFfQ0FTSF9PUEVSX0NTLjk5NwEAAACocQAAAgAAAAU5MTQ5NQEJAAAABQAAAAIxOQEAAAAIMjYzMjQwODMCAAAABTMyODI0CQAAAAItMQMAAAADMTYwBgAAAAgyLzMvMjAyMwcAAAAJNy8xNi8yMDI2CAAAAAEwBAAAAAEwLaZc6pjj3ghThInqmOPeCB1DSVEuR09PR0wuSVFfQ0FTSF9PUEVSX0NTLjk5OAEAAACocQAAAgAAAAYxMDE3NDYBCQAAAAUAAAACMTkBAAAACDI3MzgyOTYyAgAAAAUzMjgyNAkAAAACLTEDAAAAAzE2MAYAAAAIMi8xLzIwMjQHAAAACTcvMTYvMjAyNggAAAABMAQAAAABMC2mXOqY494IU4SJ6pjj3ggdQ0lRLkdPT0dMLklRX0NBU0hfT1BFUl9DUy45OTkBAAAAqHEAAAIAAAAGMTI1Mjk5AQkAAAAFAAAAAjE5AQAAAAgyODQ2MjY2OQIAAAAFMzI4MjQJAAAAAi0xAwAAAAMxNjAGAAAACDIvNS8yMDI1BwAAAAk3LzE2LzIwMjYIAAAAATAEAAAAATAtplzqmOPeCFOEieqY494IHkNJUS5HT09HTC5JUV9DQVNIX09QRVJfQ1Mu</t>
  </si>
  <si>
    <t>MTAwMAEAAACocQAAAgAAAAYxNjQ3MTMBCQAAAAUAAAACMTkBAAAACDI5NDYyODU3AgAAAAUzMjgyNAkAAAACLTEDAAAAAzE2MAYAAAAIMi81LzIwMjYHAAAACTcvMTYvMjAyNggAAAABMAQAAAABMC2mXOqY494IU4SJ6pjj3ggfQ0lRLkdPT0dMLklRX0ZJTElOR19DVVJSRU5DWV9DUwEAAACocQAAAwAAAANVU0QALaZc6pjj3gglq4nqmOPeCB1DSVEuR09PR0wuSVFfRElMVVRfV0VJR0hULjk5NwEAAACocQAAAgAAAAUxMzE1OQAtplzqmOPeCFldieqY494IHUNJUS5HT09HTC5JUV9ESUxVVF9XRUlHSFQuOTk4AQAAAKhxAAACAAAABTEyNzIyAC2mXOqY494IWV2J6pjj3ggdQ0lRLkdPT0dMLklRX0RJTFVUX1dFSUdIVC45OTkBAAAAqHEAAAIAAAAFMTI0NDcALaZc6pjj3ghZXYnqmOPeCB5DSVEuR09PR0wuSVFfRElMVVRfV0VJR0hULjEwMDABAAAAqHEAAAIAAAAFMTIyMzAALaZc6pjj3ghZXYnqmOPeCB5DSVEuR09PR0wuSVFfRElMVVRfV0VJR0hULjIwMDABAAAAqHEAAAIAAAAIMTIyMTYuNzUALaZc6pjj3ghZXYnqmOPeCB1DSVEuR09PR0wuSVFfVE9UQUxfQVNTRVRTLjk5OAEAAACocQAAAgAAAAY0MDIzOTIBCAAAAAUAAAABMQEAAAALLTE5MDc4MjMyMTEDAAAAAzE2MAIAAAAEMTAwNwQAAAABMAcAAAAJNy8xNi8yMDI2CAAAAAoxMi8zMS8yMDIzCQAAAAEwLaZc6pjj3ghZXYnqmOPeCB1DSVEuR09P</t>
  </si>
  <si>
    <t>R0wuSVFfVE9UQUxfQVNTRVRTLjk5OQEAAACocQAAAgAAAAY0NTAyNTYBCAAAAAUAAAABMQEAAAALLTE5MDc4MjMyMTADAAAAAzE2MAIAAAAEMTAwNwQAAAABMAcAAAAJNy8xNi8yMDI2CAAAAAoxMi8zMS8yMDI0CQAAAAEwLaZc6pjj3ghZXYnqmOPeCB5DSVEuR09PR0wuSVFfVE9UQUxfQVNTRVRTLjEwMDABAAAAqHEAAAIAAAAGNTk1MjgxAQgAAAAFAAAAATEBAAAACy0xOTA3ODIzMTc2AwAAAAMxNjACAAAABDEwMDcEAAAAATAHAAAACTcvMTYvMjAyNggAAAAKMTIvMzEvMjAyNQkAAAABMC2mXOqY494IWV2J6pjj3ggeQ0lRLkdPT0dMLklRX1RPVEFMX0FTU0VUUy4yMDAwAQAAAKhxAAACAAAABjcwMzkxOQEIAAAABQAAAAExAQAAAAstMTg5Mjc2NTM1OAMAAAADMTYwAgAAAAQxMDA3BAAAAAEwBwAAAAk3LzE2LzIwMjYIAAAACTMvMzEvMjAyNgkAAAABMC2mXOqY494IWV2J6pjj3ggdQ0lRLkdPT0dMLklRX0RJTFVUX1dFSUdIVC45OTYBAAAAqHEAAAIAAAAFMTM1NTMALaZc6pjj3ghZXYnqmOPeCB1DSVEuR09PR0wuSVFfVE9UQUxfRVFVSVRZLjk5OQEAAACocQAAAgAAAAYzMjUwODQBCAAAAAUAAAABMQEAAAALLTE5MDc4MjMyMTADAAAAAzE2MAIAAAAEMTI3NQQAAAABMAcAAAAJNy8xNi8yMDI2CAAAAAoxMi8zMS8yMDI0CQAAAAEwLaZc6pjj3ghZXYnqmOPeCB5DSVEuR09PR0wuSVFfVE9UQUxfRVFV</t>
  </si>
  <si>
    <t>SVRZLjEwMDABAAAAqHEAAAIAAAAGNDE1MjY1AQgAAAAFAAAAATEBAAAACy0xOTA3ODIzMTc2AwAAAAMxNjACAAAABDEyNzUEAAAAATAHAAAACTcvMTYvMjAyNggAAAAKMTIvMzEvMjAyNQkAAAABMC2mXOqY494IWV2J6pjj3ggeQ0lRLkdPT0dMLklRX1RPVEFMX0VRVUlUWS4yMDAwAQAAAKhxAAACAAAABjQ3ODc0NgEIAAAABQAAAAExAQAAAAstMTg5Mjc2NTM1OAMAAAADMTYwAgAAAAQxMjc1BAAAAAEwBwAAAAk3LzE2LzIwMjYIAAAACTMvMzEvMjAyNgkAAAABMC2mXOqY494IWV2J6pjj3ggdQ0lRLkdPT0dMLklRX1RPVEFMX0FTU0VUUy45OTYBAAAAqHEAAAIAAAAGMzU5MjY4AQgAAAAFAAAAATEBAAAACy0yMDEyMDk4ODE3AwAAAAMxNjACAAAABDEwMDcEAAAAATAHAAAACTcvMTYvMjAyNggAAAAKMTIvMzEvMjAyMQkAAAABMC2mXOqY494IU4SJ6pjj3ggdQ0lRLkdPT0dMLklRX1RPVEFMX0FTU0VUUy45OTcBAAAAqHEAAAIAAAAGMzY1MjY0AQgAAAAFAAAAATEBAAAACy0xOTYwOTkyODA1AwAAAAMxNjACAAAABDEwMDcEAAAAATAHAAAACTcvMTYvMjAyNggAAAAKMTIvMzEvMjAyMgkAAAABMC2mXOqY494IU4SJ6pjj3ggcQ0lRLkdPT0dMLklRX1RPVEFMX0RFQlQuMTAwMAEAAACocQAAAgAAAAU2Njk5NgEIAAAABQAAAAExAQAAAAstMTkwNzgyMzE3NgMAAAADMTYwAgAAAAQ0MTczBAAAAAEwBwAAAAk3</t>
  </si>
  <si>
    <t>LzE2LzIwMjYIAAAACjEyLzMxLzIwMjUJAAAAATAtplzqmOPeCFOEieqY494IHENJUS5HT09HTC5JUV9UT1RBTF9ERUJULjIwMDABAAAAqHEAAAIAAAAFOTU4NzYBCAAAAAUAAAABMQEAAAALLTE4OTI3NjUzNTgDAAAAAzE2MAIAAAAENDE3MwQAAAABMAcAAAAJNy8xNi8yMDI2CAAAAAkzLzMxLzIwMjYJAAAAATAtplzqmOPeCFOEieqY494IHUNJUS5HT09HTC5JUV9UT1RBTF9FUVVJVFkuOTk2AQAAAKhxAAACAAAABjI1MTYzNQEIAAAABQAAAAExAQAAAAstMjAxMjA5ODgxNwMAAAADMTYwAgAAAAQxMjc1BAAAAAEwBwAAAAk3LzE2LzIwMjYIAAAACjEyLzMxLzIwMjEJAAAAATAtplzqmOPeCFOEieqY494IHUNJUS5HT09HTC5JUV9UT1RBTF9FUVVJVFkuOTk3AQAAAKhxAAACAAAABjI1NjE0NAEIAAAABQAAAAExAQAAAAstMTk2MDk5MjgwNQMAAAADMTYwAgAAAAQxMjc1BAAAAAEwBwAAAAk3LzE2LzIwMjYIAAAACjEyLzMxLzIwMjIJAAAAATAtplzqmOPeCFOEieqY494IHUNJUS5HT09HTC5JUV9UT1RBTF9FUVVJVFkuOTk4AQAAAKhxAAACAAAABjI4MzM3OQEIAAAABQAAAAExAQAAAAstMTkwNzgyMzIxMQMAAAADMTYwAgAAAAQxMjc1BAAAAAEwBwAAAAk3LzE2LzIwMjYIAAAACjEyLzMxLzIwMjMJAAAAATAtplzqmOPeCFOEieqY494IIENJUS5HT09HTC5JUV9DQVNIX1NUX0lOVkVTVC4yMDAwAQAAAKhx</t>
  </si>
  <si>
    <t>AAACAAAABjEyNjg0MAEIAAAABQAAAAExAQAAAAstMTg5Mjc2NTM1OAMAAAADMTYwAgAAAAQxMDAyBAAAAAEwBwAAAAk3LzE2LzIwMjYIAAAACTMvMzEvMjAyNgkAAAABMC2mXOqY494IU4SJ6pjj3ggbQ0lRLkdPT0dMLklRX1RPVEFMX0RFQlQuOTk2AQAAAKhxAAACAAAABTI4NTA4AQgAAAAFAAAAATEBAAAACy0yMDEyMDk4ODE3AwAAAAMxNjACAAAABDQxNzMEAAAAATAHAAAACTcvMTYvMjAyNggAAAAKMTIvMzEvMjAyMQkAAAABMC2mXOqY494IU4SJ6pjj3ggbQ0lRLkdPT0dMLklRX1RPVEFMX0RFQlQuOTk3AQAAAKhxAAACAAAABTI5OTc3AQgAAAAFAAAAATEBAAAACy0xOTYwOTkyODA1AwAAAAMxNjACAAAABDQxNzMEAAAAATAHAAAACTcvMTYvMjAyNggAAAAKMTIvMzEvMjAyMgkAAAABMC2mXOqY494IU4SJ6pjj3ggbQ0lRLkdPT0dMLklRX1RPVEFMX0RFQlQuOTk4AQAAAKhxAAACAAAABTI5Nzg3AQgAAAAFAAAAATEBAAAACy0xOTA3ODIzMjExAwAAAAMxNjACAAAABDQxNzMEAAAAATAHAAAACTcvMTYvMjAyNggAAAAKMTIvMzEvMjAyMwkAAAABMC2mXOqY494IU4SJ6pjj3ggbQ0lRLkdPT0dMLklRX1RPVEFMX0RFQlQuOTk5AQAAAKhxAAACAAAABTMwNDM3AQgAAAAFAAAAATEBAAAACy0xOTA3ODIzMjEwAwAAAAMxNjACAAAABDQxNzMEAAAAATAHAAAACTcvMTYvMjAyNggAAAAKMTIvMzEvMjAyNAkA</t>
  </si>
  <si>
    <t>AAABMC2mXOqY494IU4SJ6pjj3ggfQ0lRLkdPT0dMLklRX0NBU0hfU1RfSU5WRVNULjk5NgEAAACocQAAAgAAAAYxMzk2NDkBCAAAAAUAAAABMQEAAAALLTIwMTIwOTg4MTcDAAAAAzE2MAIAAAAEMTAwMgQAAAABMAcAAAAJNy8xNi8yMDI2CAAAAAoxMi8zMS8yMDIxCQAAAAEwLaZc6pjj3ghThInqmOPeCB9DSVEuR09PR0wuSVFfQ0FTSF9TVF9JTlZFU1QuOTk3AQAAAKhxAAACAAAABjExMzc2MgEIAAAABQAAAAExAQAAAAstMTk2MDk5MjgwNQMAAAADMTYwAgAAAAQxMDAyBAAAAAEwBwAAAAk3LzE2LzIwMjYIAAAACjEyLzMxLzIwMjIJAAAAATAtplzqmOPeCFOEieqY494IH0NJUS5HT09HTC5JUV9DQVNIX1NUX0lOVkVTVC45OTgBAAAAqHEAAAIAAAAGMTEwOTE2AQgAAAAFAAAAATEBAAAACy0xOTA3ODIzMjExAwAAAAMxNjACAAAABDEwMDIEAAAAATAHAAAACTcvMTYvMjAyNggAAAAKMTIvMzEvMjAyMwkAAAABMC2mXOqY494IU4SJ6pjj3ggfQ0lRLkdPT0dMLklRX0NBU0hfU1RfSU5WRVNULjk5OQEAAACocQAAAgAAAAU5NTY1NwEIAAAABQAAAAExAQAAAAstMTkwNzgyMzIxMAMAAAADMTYwAgAAAAQxMDAyBAAAAAEwBwAAAAk3LzE2LzIwMjYIAAAACjEyLzMxLzIwMjQJAAAAATAtplzqmOPeCFOEieqY494IIENJUS5HT09HTC5JUV9DQVNIX1NUX0lOVkVTVC4xMDAwAQAAAKhxAAACAAAABjEyNjg0MwEI</t>
  </si>
  <si>
    <t>AAAABQAAAAExAQAAAAstMTkwNzgyMzE3NgMAAAADMTYwAgAAAAQxMDAyBAAAAAEwBwAAAAk3LzE2LzIwMjYIAAAACjEyLzMxLzIwMjUJAAAAATAtplzqmOPeCFOEieqY494IG0NJUS5HT09HTC5JUV9DT01NT05fUkVQLjk5NwEAAACocQAAAgAAAAYtNTkyOTYBCAAAAAUAAAABMQEAAAALLTE5NjA5OTI4MDUDAAAAAzE2MAIAAAAEMjE2NAQAAAABMAcAAAAJNy8xNi8yMDI2CAAAAAoxMi8zMS8yMDIyCQAAAAEwLaZc6pjj3ghThInqmOPeCBtDSVEuR09PR0wuSVFfQ09NTU9OX1JFUC45OTgBAAAAqHEAAAIAAAAGLTYxNTA0AQgAAAAFAAAAATEBAAAACy0xOTA3ODIzMjExAwAAAAMxNjACAAAABDIxNjQEAAAAATAHAAAACTcvMTYvMjAyNggAAAAKMTIvMzEvMjAyMwkAAAABMC2mXOqY494IU4SJ6pjj3ggbQ0lRLkdPT0dMLklRX0NPTU1PTl9SRVAuOTk5AQAAAKhxAAACAAAABi02MjIyMgEIAAAABQAAAAExAQAAAAstMTkwNzgyMzIxMAMAAAADMTYwAgAAAAQyMTY0BAAAAAEwBwAAAAk3LzE2LzIwMjYIAAAACjEyLzMxLzIwMjQJAAAAATAtplzqmOPeCFOEieqY494IHENJUS5HT09HTC5JUV9DT01NT05fUkVQLjEwMDABAAAAqHEAAAIAAAAGLTQ1NzA5AQgAAAAFAAAAATEBAAAACy0xOTA3ODIzMTc2AwAAAAMxNjACAAAABDIxNjQEAAAAATAHAAAACTcvMTYvMjAyNggAAAAKMTIvMzEvMjAyNQkAAAABMC2mXOqY</t>
  </si>
  <si>
    <t>494IU4SJ6pjj3ggiQ0lRLkdPT0dMLklRX1RPVEFMX0RJVl9QQUlEX0NGLjk5OAEAAACocQAAAwAAAAAALaZc6pjj3ghThInqmOPeCCJDSVEuR09PR0wuSVFfVE9UQUxfRElWX1BBSURfQ0YuOTk5AQAAAKhxAAACAAAABS03MzYzAQgAAAAFAAAAATEBAAAACy0xOTA3ODIzMjEwAwAAAAMxNjACAAAABDIwMjIEAAAAATAHAAAACTcvMTYvMjAyNggAAAAKMTIvMzEvMjAyNAkAAAABMC2mXOqY494IU4SJ6pjj3ggjQ0lRLkdPT0dMLklRX1RPVEFMX0RJVl9QQUlEX0NGLjEwMDABAAAAqHEAAAIAAAAGLTEwMDQ5AQgAAAAFAAAAATEBAAAACy0xOTA3ODIzMTc2AwAAAAMxNjACAAAABDIwMjIEAAAAATAHAAAACTcvMTYvMjAyNggAAAAKMTIvMzEvMjAyNQkAAAABMC2mXOqY494IU4SJ6pjj3ggjQ0lRLkdPT0dMLklRX1RPVEFMX0RJVl9QQUlEX0NGLjIwMDABAAAAqHEAAAIAAAAGLTEwMTU3AQgAAAAFAAAAATEBAAAACy0xODkyNzY1MzU4AwAAAAMxNjACAAAABDIwMjIEAAAAATAHAAAACTcvMTYvMjAyNggAAAAJMy8zMS8yMDI2CQAAAAEwLaZc6pjj3ghThInqmOPeCBtDSVEuR09PR0wuSVFfQ09NTU9OX1JFUC45OTYBAAAAqHEAAAIAAAAGLTUwMjc0AQgAAAAFAAAAATEBAAAACy0yMDEyMDk4ODE3AwAAAAMxNjACAAAABDIxNjQEAAAAATAHAAAACTcvMTYvMjAyNggAAAAKMTIvMzEvMjAyMQkAAAABMC2mXOqY494I</t>
  </si>
  <si>
    <t>U4SJ6pjj3ggfQ0lRLkdPT0dMLklRX1NUT0NLX0JBU0VEX0NGLjk5OQEAAACocQAAAgAAAAUyMjc4NQEIAAAABQAAAAExAQAAAAstMTkwNzgyMzIxMAMAAAADMTYwAgAAAAQyMTI3BAAAAAEwBwAAAAk3LzE2LzIwMjYIAAAACjEyLzMxLzIwMjQJAAAAATAtplzqmOPeCFOEieqY494IIENJUS5HT09HTC5JUV9TVE9DS19CQVNFRF9DRi4xMDAwAQAAAKhxAAACAAAABTI0OTUzAQgAAAAFAAAAATEBAAAACy0xOTA3ODIzMTc2AwAAAAMxNjACAAAABDIxMjcEAAAAATAHAAAACTcvMTYvMjAyNggAAAAKMTIvMzEvMjAyNQkAAAABMC2mXOqY494IU4SJ6pjj3gggQ0lRLkdPT0dMLklRX1NUT0NLX0JBU0VEX0NGLjIwMDABAAAAqHEAAAIAAAAFMjYxODgBCAAAAAUAAAABMQEAAAALLTE4OTI3NjUzNTgDAAAAAzE2MAIAAAAEMjEyNwQAAAABMAcAAAAJNy8xNi8yMDI2CAAAAAkzLzMxLzIwMjYJAAAAATAtplzqmOPeCFOEieqY494IIkNJUS5HT09HTC5JUV9UT1RBTF9ESVZfUEFJRF9DRi45OTYBAAAAqHEAAAMAAAAAAC2mXOqY494IU4SJ6pjj3ggiQ0lRLkdPT0dMLklRX1RPVEFMX0RJVl9QQUlEX0NGLjk5NwEAAACocQAAAwAAAAAALaZc6pjj3ghThInqmOPeCBdDSVEuR09PR0wuSVFfQ0FQRVguMTAwMAEAAACocQAAAgAAAAYtOTE0NDcBCAAAAAUAAAABMQEAAAALLTE5MDc4MjMxNzYDAAAAAzE2MAIAAAAEMjAyMQQA</t>
  </si>
  <si>
    <t>AAABMAcAAAAJNy8xNi8yMDI2CAAAAAoxMi8zMS8yMDI1CQAAAAEwLaZc6pjj3ghThInqmOPeCBdDSVEuR09PR0wuSVFfQ0FQRVguMjAwMAEAAACocQAAAgAAAActMTA5OTI0AQgAAAAFAAAAATEBAAAACy0xODkyNzY1MzU4AwAAAAMxNjACAAAABDIwMjEEAAAAATAHAAAACTcvMTYvMjAyNggAAAAJMy8zMS8yMDI2CQAAAAEwLaZc6pjj3ghThInqmOPeCB9DSVEuR09PR0wuSVFfU1RPQ0tfQkFTRURfQ0YuOTk2AQAAAKhxAAACAAAABTE1Mzc2AQgAAAAFAAAAATEBAAAACy0yMDEyMDk4ODE3AwAAAAMxNjACAAAABDIxMjcEAAAAATAHAAAACTcvMTYvMjAyNggAAAAKMTIvMzEvMjAyMQkAAAABMC2mXOqY494IU4SJ6pjj3ggfQ0lRLkdPT0dMLklRX1NUT0NLX0JBU0VEX0NGLjk5NwEAAACocQAAAgAAAAUxOTM2MgEIAAAABQAAAAExAQAAAAstMTk2MDk5MjgwNQMAAAADMTYwAgAAAAQyMTI3BAAAAAEwBwAAAAk3LzE2LzIwMjYIAAAACjEyLzMxLzIwMjIJAAAAATAtplzqmOPeCFOEieqY494IH0NJUS5HT09HTC5JUV9TVE9DS19CQVNFRF9DRi45OTgBAAAAqHEAAAIAAAAFMjI0NjABCAAAAAUAAAABMQEAAAALLTE5MDc4MjMyMTEDAAAAAzE2MAIAAAAEMjEyNwQAAAABMAcAAAAJNy8xNi8yMDI2CAAAAAoxMi8zMS8yMDIzCQAAAAEwLaZc6pjj3ghThInqmOPeCBZDSVEuR09PR0wuSVFfQ0FQRVguOTk2AQAAAKhx</t>
  </si>
  <si>
    <t>AAACAAAABi0yNDY0MAEIAAAABQAAAAExAQAAAAstMjAxMjA5ODgxNwMAAAADMTYwAgAAAAQyMDIxBAAAAAEwBwAAAAk3LzE2LzIwMjYIAAAACjEyLzMxLzIwMjEJAAAAATAtplzqmOPeCFOEieqY494IFkNJUS5HT09HTC5JUV9DQVBFWC45OTcBAAAAqHEAAAIAAAAGLTMxNDg1AQgAAAAFAAAAATEBAAAACy0xOTYwOTkyODA1AwAAAAMxNjACAAAABDIwMjEEAAAAATAHAAAACTcvMTYvMjAyNggAAAAKMTIvMzEvMjAyMgkAAAABMC2mXOqY494IU4SJ6pjj3ggWQ0lRLkdPT0dMLklRX0NBUEVYLjk5OAEAAACocQAAAgAAAAYtMzIyNTEBCAAAAAUAAAABMQEAAAALLTE5MDc4MjMyMTEDAAAAAzE2MAIAAAAEMjAyMQQAAAABMAcAAAAJNy8xNi8yMDI2CAAAAAoxMi8zMS8yMDIzCQAAAAEwLaZc6pjj3ghThInqmOPeCBZDSVEuR09PR0wuSVFfQ0FQRVguOTk5AQAAAKhxAAACAAAABi01MjUzNQEIAAAABQAAAAExAQAAAAstMTkwNzgyMzIxMAMAAAADMTYwAgAAAAQyMDIxBAAAAAEwBwAAAAk3LzE2LzIwMjYIAAAACjEyLzMxLzIwMjQJAAAAATAtplzqmOPeCFOEieqY494IE0NJUS5HT09HTC5JUV9OSS45OTcBAAAAqHEAAAIAAAAFNTk5NzIBCAAAAAUAAAABMQEAAAALLTE5NjA5OTI4MDUDAAAAAzE2MAIAAAACMTUEAAAAATAHAAAACTcvMTYvMjAyNggAAAAKMTIvMzEvMjAyMgkAAAABMC2mXOqY494IU4SJ6pjj3ggT</t>
  </si>
  <si>
    <t>Q0lRLkdPT0dMLklRX05JLjk5OAEAAACocQAAAgAAAAU3Mzc5NQEIAAAABQAAAAExAQAAAAstMTkwNzgyMzIxMQMAAAADMTYwAgAAAAIxNQQAAAABMAcAAAAJNy8xNi8yMDI2CAAAAAoxMi8zMS8yMDIzCQAAAAEwLaZc6pjj3ghThInqmOPeCBNDSVEuR09PR0wuSVFfTkkuOTk5AQAAAKhxAAACAAAABjEwMDExOAEIAAAABQAAAAExAQAAAAstMTkwNzgyMzIxMAMAAAADMTYwAgAAAAIxNQQAAAABMAcAAAAJNy8xNi8yMDI2CAAAAAoxMi8zMS8yMDI0CQAAAAEwLaZc6pjj3ghThInqmOPeCBRDSVEuR09PR0wuSVFfTkkuMTAwMAEAAACocQAAAgAAAAYxMzIxNzABCAAAAAUAAAABMQEAAAALLTE5MDc4MjMxNzYDAAAAAzE2MAIAAAACMTUEAAAAATAHAAAACTcvMTYvMjAyNggAAAAKMTIvMzEvMjAyNQkAAAABMC2mXOqY494IU4SJ6pjj3ggUQ0lRLkdPT0dMLklRX05JLjIwMDABAAAAqHEAAAIAAAAGMTYwMjA4AQgAAAAFAAAAATEBAAAACy0xODkyNzY1MzU4AwAAAAMxNjACAAAAAjE1BAAAAAEwBwAAAAk3LzE2LzIwMjYIAAAACTMvMzEvMjAyNgkAAAABMC2mXOqY494IU4SJ6pjj3ggXQ0lRLkdPT0dMLklRX0VCSVREQS45OTgBAAAAqHEAAAIAAAAFOTYyMzkBCAAAAAUAAAABMQEAAAALLTE5MDc4MjMyMTEDAAAAAzE2MAIAAAAENDA1MQQAAAABMAcAAAAJNy8xNi8yMDI2CAAAAAoxMi8zMS8yMDIzCQAAAAEwLaZc</t>
  </si>
  <si>
    <t>6pjj3ghThInqmOPeCBdDSVEuR09PR0wuSVFfRUJJVERBLjk5OQEAAACocQAAAgAAAAYxMjc3MDEBCAAAAAUAAAABMQEAAAALLTE5MDc4MjMyMTADAAAAAzE2MAIAAAAENDA1MQQAAAABMAcAAAAJNy8xNi8yMDI2CAAAAAoxMi8zMS8yMDI0CQAAAAEwLaZc6pjj3ghThInqmOPeCBhDSVEuR09PR0wuSVFfRUJJVERBLjEwMDABAAAAqHEAAAIAAAAGMTUwMTc1AQgAAAAFAAAAATEBAAAACy0xOTA3ODIzMTc2AwAAAAMxNjACAAAABDQwNTEEAAAAATAHAAAACTcvMTYvMjAyNggAAAAKMTIvMzEvMjAyNQkAAAABMC2mXOqY494IU4SJ6pjj3ggTQ0lRLkdPT0dMLklRX05JLjk5NgEAAACocQAAAgAAAAU3NjAzMwEIAAAABQAAAAExAQAAAAstMjAxMjA5ODgxNwMAAAADMTYwAgAAAAIxNQQAAAABMAcAAAAJNy8xNi8yMDI2CAAAAAoxMi8zMS8yMDIxCQAAAAEwLaZc6pjj3ghThInqmOPeCBlDSVEuR09PR0wuSVFfT1BFUl9JTkMuOTk5AQAAAKhxAAACAAAABjExMjM5MAEIAAAABQAAAAExAQAAAAstMTkwNzgyMzIxMAMAAAADMTYwAgAAAAIyMQQAAAABMAcAAAAJNy8xNi8yMDI2CAAAAAoxMi8zMS8yMDI0CQAAAAEwLaZc6pjj3ghThInqmOPeCBpDSVEuR09PR0wuSVFfT1BFUl9JTkMuMTAwMAEAAACocQAAAgAAAAYxMjkwMzkBCAAAAAUAAAABMQEAAAALLTE5MDc4MjMxNzYDAAAAAzE2MAIAAAACMjEEAAAAATAHAAAA</t>
  </si>
  <si>
    <t>CTcvMTYvMjAyNggAAAAKMTIvMzEvMjAyNQkAAAABMC2mXOqY494IU4SJ6pjj3ggaQ0lRLkdPT0dMLklRX09QRVJfSU5DLjIwMDABAAAAqHEAAAIAAAAGMTM4MTI5AQgAAAAFAAAAATEBAAAACy0xODkyNzY1MzU4AwAAAAMxNjACAAAAAjIxBAAAAAEwBwAAAAk3LzE2LzIwMjYIAAAACTMvMzEvMjAyNgkAAAABMC2mXOqY494IU4SJ6pjj3ggXQ0lRLkdPT0dMLklRX0VCSVREQS45OTYBAAAAqHEAAAIAAAAFODg5ODcBCAAAAAUAAAABMQEAAAALLTIwMTIwOTg4MTcDAAAAAzE2MAIAAAAENDA1MQQAAAABMAcAAAAJNy8xNi8yMDI2CAAAAAoxMi8zMS8yMDIxCQAAAAEwLaZc6pjj3ghThInqmOPeCBdDSVEuR09PR0wuSVFfRUJJVERBLjk5NwEAAACocQAAAgAAAAU4ODMxNwEIAAAABQAAAAExAQAAAAstMTk2MDk5MjgwNQMAAAADMTYwAgAAAAQ0MDUxBAAAAAEwBwAAAAk3LzE2LzIwMjYIAAAACjEyLzMxLzIwMjIJAAAAATAtplzqmOPeCFOEieqY494IFENJUS5HT09HTC5JUV9HUC4xMDAwAQAAAKhxAAACAAAABjI0MDMwMQEIAAAABQAAAAExAQAAAAstMTkwNzgyMzE3NgMAAAADMTYwAgAAAAIxMAQAAAABMAcAAAAJNy8xNi8yMDI2CAAAAAoxMi8zMS8yMDI1CQAAAAEwLaZc6pjj3ghThInqmOPeCBRDSVEuR09PR0wuSVFfR1AuMjAwMAEAAACocQAAAgAAAAYyNTUwNTMBCAAAAAUAAAABMQEAAAALLTE4OTI3NjUz</t>
  </si>
  <si>
    <t>NTgDAAAAAzE2MAIAAAACMTAEAAAAATAHAAAACTcvMTYvMjAyNggAAAAJMy8zMS8yMDI2CQAAAAEwLaZc6pjj3ghThInqmOPeCBlDSVEuR09PR0wuSVFfT1BFUl9JTkMuOTk2AQAAAKhxAAACAAAABTc4NzE0AQgAAAAFAAAAATEBAAAACy0yMDEyMDk4ODE3AwAAAAMxNjACAAAAAjIxBAAAAAEwBwAAAAk3LzE2LzIwMjYIAAAACjEyLzMxLzIwMjEJAAAAATAtplzqmOPeCFOEieqY494IGUNJUS5HT09HTC5JUV9PUEVSX0lOQy45OTcBAAAAqHEAAAIAAAAFNzQ4NDIBCAAAAAUAAAABMQEAAAALLTE5NjA5OTI4MDUDAAAAAzE2MAIAAAACMjEEAAAAATAHAAAACTcvMTYvMjAyNggAAAAKMTIvMzEvMjAyMgkAAAABMC2mXOqY494IJauJ6pjj3ggZQ0lRLkdPT0dMLklRX09QRVJfSU5DLjk5OAEAAACocQAAAgAAAAU4NDI5MwEIAAAABQAAAAExAQAAAAstMTkwNzgyMzIxMQMAAAADMTYwAgAAAAIyMQQAAAABMAcAAAAJNy8xNi8yMDI2CAAAAAoxMi8zMS8yMDIzCQAAAAEwLaZc6pjj3gglq4nqmOPeCBtDSVEuR09PR0wuSVFfVE9UQUxfUkVWLjIwMDABAAAAqHEAAAIAAAAGNDIyNDk4AQgAAAAFAAAAATEBAAAACy0xODkyNzY1MzU4AwAAAAMxNjACAAAAAjI4BAAAAAEwBwAAAAk3LzE2LzIwMjYIAAAACTMvMzEvMjAyNgkAAAABMC2mXOqY494IJauJ6pjj3ggTQ0lRLkdPT0dMLklRX0dQLjk5NgEAAACocQAAAgAAAAYx</t>
  </si>
  <si>
    <t>NDY2OTgBCAAAAAUAAAABMQEAAAALLTIwMTIwOTg4MTcDAAAAAzE2MAIAAAACMTAEAAAAATAHAAAACTcvMTYvMjAyNggAAAAKMTIvMzEvMjAyMQkAAAABMC2mXOqY494IJauJ6pjj3ggTQ0lRLkdPT0dMLklRX0dQLjk5NwEAAACocQAAAgAAAAYxNTY2MzMBCAAAAAUAAAABMQEAAAALLTE5NjA5OTI4MDUDAAAAAzE2MAIAAAACMTAEAAAAATAHAAAACTcvMTYvMjAyNggAAAAKMTIvMzEvMjAyMgkAAAABMC2mXOqY494IJauJ6pjj3ggTQ0lRLkdPT0dMLklRX0dQLjk5OAEAAACocQAAAgAAAAYxNzQwNjIBCAAAAAUAAAABMQEAAAALLTE5MDc4MjMyMTEDAAAAAzE2MAIAAAACMTAEAAAAATAHAAAACTcvMTYvMjAyNggAAAAKMTIvMzEvMjAyMwkAAAABMC2mXOqY494IJauJ6pjj3ggTQ0lRLkdPT0dMLklRX0dQLjk5OQEAAACocQAAAgAAAAYyMDM3MTIBCAAAAAUAAAABMQEAAAALLTE5MDc4MjMyMTADAAAAAzE2MAIAAAACMTAEAAAAATAHAAAACTcvMTYvMjAyNggAAAAKMTIvMzEvMjAyNAkAAAABMC2mXOqY494IJauJ6pjj3ggaQ0lRLkdPT0dMLklRX1RPVEFMX1JFVi45OTYBAAAAqHEAAAIAAAAGMjU3NjM3AQgAAAAFAAAAATEBAAAACy0yMDEyMDk4ODE3AwAAAAMxNjACAAAAAjI4BAAAAAEwBwAAAAk3LzE2LzIwMjYIAAAACjEyLzMxLzIwMjEJAAAAATAtplzqmOPeCCWrieqY494IGkNJUS5HT09HTC5JUV9UT1RB</t>
  </si>
  <si>
    <t>TF9SRVYuOTk3AQAAAKhxAAACAAAABjI4MjgzNgEIAAAABQAAAAExAQAAAAstMTk2MDk5MjgwNQMAAAADMTYwAgAAAAIyOAQAAAABMAcAAAAJNy8xNi8yMDI2CAAAAAoxMi8zMS8yMDIyCQAAAAEwLaZc6pjj3gglq4nqmOPeCBpDSVEuR09PR0wuSVFfVE9UQUxfUkVWLjk5OAEAAACocQAAAgAAAAYzMDczOTQBCAAAAAUAAAABMQEAAAALLTE5MDc4MjMyMTEDAAAAAzE2MAIAAAACMjgEAAAAATAHAAAACTcvMTYvMjAyNggAAAAKMTIvMzEvMjAyMwkAAAABMC2mXOqY494IJauJ6pjj3ggaQ0lRLkdPT0dMLklRX1RPVEFMX1JFVi45OTkBAAAAqHEAAAIAAAAGMzUwMDE4AQgAAAAFAAAAATEBAAAACy0xOTA3ODIzMjEwAwAAAAMxNjACAAAAAjI4BAAAAAEwBwAAAAk3LzE2LzIwMjYIAAAACjEyLzMxLzIwMjQJAAAAATAtplzqmOPeCCWrieqY494IG0NJUS5HT09HTC5JUV9UT1RBTF9SRVYuMTAwMAEAAACocQAAAgAAAAY0MDI4MzYBCAAAAAUAAAABMQEAAAALLTE5MDc4MjMxNzYDAAAAAzE2MAIAAAACMjgEAAAAATAHAAAACTcvMTYvMjAyNggAAAAKMTIvMzEvMjAyNQkAAAABMC2mXOqY494IJauJ6pjj3ggmQ0lRLkdPT0dMLklRX1NIT1JUX0lOVEVSRVNUX09WRVJfRkxPQVQBAAAAqHEAAAIAAAAGMC43ODc3AC2mXOqY494IJauJ6pjj3gggQ0lRLkdPT0dMLklRX0NVUlJFTlRfUkFUSU8uMTAwMDABAAAAqHEAAAIA</t>
  </si>
  <si>
    <t>AAAIMi4wMDUzMzMBCAAAAAUAAAABMQEAAAALLTE5MDc4MjI2ODMDAAAAAzE2MAIAAAAENDAzMAQAAAABMAcAAAAJNy8xNi8yMDI2CAAAAAoxMi8zMS8yMDI1CQAAAAEwLaZc6pjj3gglq4nqmOPeCB5DSVEuR09PR0wuSVFfUVVJQ0tfUkFUSU8uMTAwMDABAAAAqHEAAAIAAAAGMS44NDY2AQgAAAAFAAAAATEBAAAACy0xOTA3ODIyNjgzAwAAAAMxNjACAAAABDQxMjEEAAAAATAHAAAACTcvMTYvMjAyNggAAAAKMTIvMzEvMjAyNQkAAAABMC2mXOqY494IJauJ6pjj3ggaQ0lRLkdPT0dMLklRX0VCSVRfSU5ULjIwMDABAAAAqHEAAAIAAAAKMTExLjg0NTM0NAEIAAAABQAAAAExAQAAAAstMTg5Mjc2NTM1OAMAAAADMTYwAgAAAAQ0MTg5BAAAAAEwBwAAAAk3LzE2LzIwMjYIAAAACTMvMzEvMjAyNgkAAAABMC2mXOqY494IJauJ6pjj3ggaQ0lRLkdPT0dMLklRX0dXX0lOVEFOLjUwMDABAAAAqHEAAAIAAAAFNjcyMTgBCAAAAAUAAAABMQEAAAALLTE4OTI3NjYyNTUDAAAAAzE2MAIAAAAFMzUzODEEAAAAATAHAAAACTcvMTYvMjAyNggAAAAJMy8zMS8yMDI2CQAAAAEwLaZc6pjj3gglq4nqmOPeCBtDSVEuR09PR0wuSVFfVEJWX1NIQVJFLjUwMDABAAAAqHEAAAIAAAAJMzMuOTY1NjY1AQgAAAAFAAAAATEBAAAACy0xODkyNzY2MjU1AwAAAAMxNjACAAAABDQxNTYEAAAAATAHAAAACTcvMTYvMjAyNggAAAAJMy8z</t>
  </si>
  <si>
    <t>MS8yMDI2CQAAAAEwLaZc6pjj3gglq4nqmOPeCCNDSVEuR09PR0wuSVFfVE9UQUxfREVCVF9FUVVJVFkuNTAwMAEAAACocQAAAgAAAAcyMC4wMjY0AQgAAAAFAAAAATEBAAAACy0xODkyNzY2MjU1AwAAAAMxNjACAAAABDQwMzQEAAAAATAHAAAACTcvMTYvMjAyNggAAAAJMy8zMS8yMDI2CQAAAAEwLaZc6pjj3gglq4nqmOPeCBlDSVEuR09PR0wuSVFfVEVWX0VCSVREQS4uAQAAAKhxAAACAAAAEDI1LjcwODIwMDc5MTAyODgBBwAAAAUAAAABMQEAAAALLTE4OTI3NjUzNTgDAAAAATACAAAABjEwMDA2MwQAAAABMAcAAAAJNy8xNi8yMDI2CAAAAAk3LzE2LzIwMjbhPDZSmOPeCCWrieqY494IEkNJUS5HT09HTC5JUV9QQlYuLgEAAACocQAAAgAAABA4Ljk3MDU5NzAzNzE5MjQ1AQcAAAAFAAAAATEBAAAACy0xODkyNzY1MzU4AwAAAAEwAgAAAAYxMDAwNjcEAAAAATAHAAAACTcvMTYvMjAyNggAAAAJNy8xNi8yMDI24Tw2Upjj3gglq4nqmOPeCBxDSVEuR09PR0wuSVFfVEVWX1RPVEFMX1JFVi4uAQAAAKhxAAACAAAAEDEwLjE1NjAzNDc2ODUxNzMBBwAAAAUAAAABMQEAAAALLTE4OTI3NjUzNTgDAAAAATACAAAABjEwMDA2MQQAAAABMAcAAAAJNy8xNi8yMDI2CAAAAAk3LzE2LzIwMjbhPDZSmOPeCCWrieqY494IHENJUS5HT09HTC5JUV9ESVZJREVORF9ZSUVMRC4BAAAAqHEAAAIAAAAGMC4yMzcyAOE8NlKY</t>
  </si>
  <si>
    <t>494IJauJ6pjj3ggYQ0lRLkdPT0dMLklRX01BUktFVENBUC4uAQAAAKhxAAACAAAADjQzMjE4NjguMzc3NjI5AQYAAAAFAAAAATEBAAAACy0xODkyNzY2MjU1AwAAAAMxNjACAAAABjEwMDA1NAQAAAABMAcAAAAJNy8xNi8yMDI24Tw2Upjj3gglq4nqmOPeCBJDSVEuR09PR0wuSVFfVEVWLi4BAAAAqHEAAAIAAAAONDI5MDkwNC4zNzc2MjkBBgAAAAUAAAABMQEAAAALLTE4OTI3NjYyNTUDAAAAAzE2MAIAAAAGMTAwMDYwBAAAAAEwBwAAAAk3LzE2LzIwMjbhPDZSmOPeCCWrieqY494IF0NJUS5HT09HTC5JUV9NQVJLRVRDQVAuAQAAAKhxAAACAAAADjQzMjE4NjguMzc3NjI5AQYAAAAFAAAAATEBAAAACy0xODkyNzY2MjU1AwAAAAMxNjACAAAABjEwMDA1NAQAAAABMAcAAAAJNy8xNi8yMDI24Tw2Upjj3gglq4nqmOPeCBZDSVEuR09PR0wuSVFfQkVUQV81WVIuAQAAAKhxAAACAAAADzEuMjQ2ODA5Mjg5NjA0MgDhPDZSmOPeCCWrieqY494IK0NJUS5HT09HTC5JUV9UT1RBTF9PVVRTVEFORElOR19CU19EQVRFX0NTLi4BAAAAqHEAAAIAAAAFMTIxMTYBCQAAAAUAAAACMTkBAAAACDI5NzE4MDQ2AgAAAAUzMjY2MgkAAAACLTEDAAAAATAGAAAACTQvMzAvMjAyNgcAAAAJNy8xNi8yMDI2CAAAAAEwBAAAAAEwHp6n6pjj3ggDd7jqmOPeCCRDSVEuR09PR0wuSVFfU0hBUkVTT1VUU1RBTkRJTkdfT1VULi4BAAAA</t>
  </si>
  <si>
    <t>qHEAAAIAAAAMMTIyMDIuOTA5NjY5AB6ep+qY494IA3e46pjj3ggWQ0lRLkdPT0dMLklRX1lFQVJISUdILgEAAACocQAAAgAAAAY0MDguNjEAHp6n6pjj3ggDd7jqmOPeCBVDSVEuR09PR0wuSVFfWUVBUkxPVy4BAAAAqHEAAAIAAAAGMTgwLjQ4AB6ep+qY494IA3e46pjj3ggYQ0lRLkdPT0dMLklRX0NMT1NFUFJJQ0UuAQAAAKhxAAACAAAABjM1NC40NgAenqfqmOPeCAN3uOqY494IEUNJUS5HT09HTC5JUV9URVYuAQAAAKhxAAACAAAADjQyOTA5MDQuMzc3NjI5AQYAAAAFAAAAATEBAAAACy0xODkyNzY2MjU1AwAAAAMxNjACAAAABjEwMDA2MAQAAAABMAcAAAAJNy8xNi8yMDI2Hp6n6pjj3ggDd7jqmOPeCB1DSVEuR09PR0wuSVFfQ0FTSF9TVF9JTlZFU1QuLgEAAACocQAAAgAAAAYxMjY4NDABCAAAAAUAAAABMQEAAAALLTE4OTI3NjUzNTgDAAAAAzE2MAIAAAAEMTAwMgQAAAABMAcAAAAJNy8xNi8yMDI2CAAAAAkzLzMxLzIwMjYJAAAAATAenqfqmOPeCAN3uOqY494IGUNJUS5HT09HTC5JUV9UT1RBTF9ERUJULi4BAAAAqHEAAAIAAAAFOTU4NzYBCAAAAAUAAAABMQEAAAALLTE4OTI3NjUzNTgDAAAAAzE2MAIAAAAENDE3MwQAAAABMAcAAAAJNy8xNi8yMDI2CAAAAAkzLzMxLzIwMjYJAAAAATAenqfqmOPeCAN3uOqY494IG0NJUS5QTFRSLklRX0lORFVTVFJZX1NFQ1RPUgEAAABl+pgCAwAAABZJbmZv</t>
  </si>
  <si>
    <t>cm1hdGlvbiBUZWNobm9sb2d5AJMdcIyZ494I9mmTjJnj3ggcQ0lRLlBMVFIuSVFfUFJJTUFSWV9JTkRVU1RSWQEAAABl+pgCAwAAABRBcHBsaWNhdGlvbiBTb2Z0d2FyZQCTHXCMmePeCPZpk4yZ494IGENJUS5QTFRSLklRX1BFX0VYQ0wuMjAwMAEAAABl+pgCAgAAABAxNTEuMTI4MzQ3ODA2NTM3AQcAAAAFAAAAATEBAAAACy0xODkxNTY5ODQ3AwAAAAEwAgAAAAYxMDAwNjYEAAAAATAHAAAACTcvMTYvMjAyNggAAAAJNy8xNi8yMDI2kx1wjJnj3gj2aZOMmePeCBxDSVEuUExUUi5JUV9QUklDRV9TQUxFUy4yMDAwAQAAAGX6mAICAAAAEDYxLjI3MDg0NTk0MjM3ODgBBwAAAAUAAAABMQEAAAALLTE4OTE1Njk4NDcDAAAAATACAAAABTM4OTU4BAAAAAEwBwAAAAk3LzE2LzIwMjYIAAAACTcvMTYvMjAyNpMdcIyZ494I9mmTjJnj3ggZQ0lRQVZHLlBMVFIuSVFfVk9MVU1FLi0zTQEAAABl+pgCAgAAABA0Mi43MzA5MzA2MTkwNDc2AJMdcIyZ494I9mmTjJnj3ggaQ0lRLlBMVFIuSVFfVEVWLi4xNy1KVUwtMjYBAAAAZfqYAgIAAAANMzE0NTg2LjgwNDE4NwEGAAAABQAAAAExAQAAAAstMTg5MTU3MDk4MwMAAAADMTYwAgAAAAYxMDAwNjAEAAAAATAHAAAACTcvMTYvMjAyNpMdcIyZ494IDynSzprj3ggYQ0lRLlBMVFIuSVFfQ09NUEFOWV9OQU1FAQAAAGX6mAIDAAAAGlBhbGFudGlyIFRlY2hub2xvZ2llcyBJ</t>
  </si>
  <si>
    <t>bmMuAJMdcIyZ494I9mmTjJnj3ggUQ0lRLlBMVFIuSVFfRVhDSEFOR0UBAAAAZfqYAgMAAAAITmFzZGFxR1MAkx1wjJnj3gj2aZOMmePeCBtDSVEuUExUUi5JUV9DT01QQU5ZX0FERFJFU1MBAAAAZfqYAgMAAABIMTk1MDUgQmlzY2F5bmUgQmx2ZCwgU3VpdGUgMjM1MCwgQXZlbnR1cmEsIEZsb3JpZGEsIDMzMTgwLCBVbml0ZWQgU3RhdGVzAJMdcIyZ494I9mmTjJnj3ggsQ0lRUkFOR0UuUExUUi5JUV9ORVdTLjEuMjUuLi4uLk5FV1MgSEVBRExJTkUDAAAAZfqYAgYAAAAAAAAAAwAAAAAAAAAGInBsdHIiBHBsdHIBAAAACSJJUV9ORVdTIgdJUV9ORVdTAgAAAAExATEAAAAAAwAAAAAAAAAGInBsdHIiBHBsdHIBAAAACSJJUV9ORVdTIgdJUV9ORVdTAgAAAAEyATIAAAAAAwAAAAAAAAAGInBsdHIiBHBsdHIBAAAACSJJUV9ORVdTIgdJUV9ORVdTAgAAAAEzATMAAAAAAwAAAAAAAAAGInBsdHIiBHBsdHIBAAAACSJJUV9ORVdTIgdJUV9ORVdTAgAAAAE0ATQAAAAAAwAAAAAAAAAGInBsdHIiBHBsdHIBAAAACSJJUV9ORVdTIgdJUV9ORVdTAgAAAAE1ATUAAAAAAwAAAAAAAAAGInBsdHIiBHBsdHIBAAAACSJJUV9ORVdTIgdJUV9ORVdTAgAAAAE2ATaTHXCMmePeCJMdcIyZ494IEkNJUS5wbHRyLklRX05FV1MuMQEAAABl+pgCAwAAAElNaWNyb24gYm9vc3RzIFVTIGludmVzdG1lbnRzIHRvICQyNTBCOyBNZXRh</t>
  </si>
  <si>
    <t>IHNldHMgQUkgY2hpcCBwcm9kdWN0aW9uIHN0YXJ0AQMAAAAFAAAAAjE3AQAAAAkzMjI3MzU1MTgCAAAABDc3NzGTHXCMmePeCOH0k4yZ494IEkNJUS5wbHRyLklRX05FV1MuMgEAAABl+pgCAwAAAFBJbnN1cmFuY2UgcHJvZHVjdHM6IEtvdnJpbG8gdW52ZWlscyBjeWJlciwgZWxlY3RyaWNhbCBicmVha2Rvd24gY292ZXJzIGluIHRoZSBVSwEDAAAABQAAAAIxNwEAAAAJMzIyNzM1NDc1AgAAAAQ3Nzcxkx1wjJnj3gjh9JOMmePeCBJDSVEucGx0ci5JUV9ORVdTLjMBAAAAZfqYAgMAAABNQW1hem9uIFByaW1lIERheSBzYWxlcyBmb3JlY2FzdDsgR29yaWxsYSBUZWNobm9sb2d5J3MgVVMkMi41QiBBSSBjb21wdXRlIGRlYWwBAwAAAAUAAAACMTcBAAAACTMyMjczNDQ5MAIAAAAENzc3MZMdcIyZ494I4fSTjJnj3ggSQ0lRLnBsdHIuSVFfTkVXUy40AQAAAGX6mAIDAAAARkFtYXpvbiBpbiB0YWxrcyB0byBzZWxsIEFJIGNoaXBzIHRvIGZpcm1zOyBTcGFjZVggcGxhbnMgJDIwQiBib25kIHNhbGUBAwAAAAUAAAACMTcBAAAACTMyMjczNDM1NwIAAAAENzc3MZMdcIyZ494I4fSTjJnj3ggSQ0lRLnBsdHIuSVFfTkVXUy41AQAAAGX6mAIDAAAATUludGVsIHN0b2NrIHJpc2VzIG9uIFVTIGNoaXAgZGVhbCByZXBvcnQ7IEFsaWJhYmEgQ2xvdWQgb3BlbnMgbmV3IGRhdGEgY2VudGVyAQMAAAAFAAAAAjE3AQAA</t>
  </si>
  <si>
    <t>AAkzMjI3MzQyNjECAAAABDc3NzGTHXCMmePeCOH0k4yZ494IEkNJUS5wbHRyLklRX05FV1MuNgEAAABl+pgCAwAAAEdDb25zZW5zdXMgc2hvd3MgUGFsYW50aXLigJlzIHJldmVudWUgc2hpZnRpbmcgdG93YXJkIGNvbW1lcmNpYWwgc2VnbWVudAEDAAAABQAAAAIxNwEAAAAJMzIyNzM0MjM0AgAAAAQ3Nzcxkx1wjJnj3gjh9JOMmePeCCdDSVFSQU5HRS5QTFRSLklRX05FV1MuMS4yNS4uLi4uTkVXUyBVUkwDAAAAZfqYAgYAAAAAAAAAAwAAAAAAAAAGInBsdHIiBHBsdHIBAAAACSJJUV9ORVdTIgdJUV9ORVdTAgAAAAExATEAAAAAAwAAAAAAAAAGInBsdHIiBHBsdHIBAAAACSJJUV9ORVdTIgdJUV9ORVdTAgAAAAEyATIAAAAAAwAAAAAAAAAGInBsdHIiBHBsdHIBAAAACSJJUV9ORVdTIgdJUV9ORVdTAgAAAAEzATMAAAAAAwAAAAAAAAAGInBsdHIiBHBsdHIBAAAACSJJUV9ORVdTIgdJUV9ORVdTAgAAAAE0ATQAAAAAAwAAAAAAAAAGInBsdHIiBHBsdHIBAAAACSJJUV9ORVdTIgdJUV9ORVdTAgAAAAE1ATUAAAAAAwAAAAAAAAAGInBsdHIiBHBsdHIBAAAACSJJUV9ORVdTIgdJUV9ORVdTAgAAAAE2ATaTHXCMmePeCJMdcIyZ494IKENJUVJBTkdFLlBMVFIuSVFfTkVXUy4xLjI1Li4uLi5ORVdTIERBVEUDAAAAZfqYAgYAAAAAAAAAAwAAAAAAAAAGInBsdHIiBHBsdHIBAAAACSJJUV9ORVdTIgdJUV9ORVdT</t>
  </si>
  <si>
    <t>AgAAAAExATEAAAAAAwAAAAAAAAAGInBsdHIiBHBsdHIBAAAACSJJUV9ORVdTIgdJUV9ORVdTAgAAAAEyATIAAAAAAwAAAAAAAAAGInBsdHIiBHBsdHIBAAAACSJJUV9ORVdTIgdJUV9ORVdTAgAAAAEzATMAAAAAAwAAAAAAAAAGInBsdHIiBHBsdHIBAAAACSJJUV9ORVdTIgdJUV9ORVdTAgAAAAE0ATQAAAAAAwAAAAAAAAAGInBsdHIiBHBsdHIBAAAACSJJUV9ORVdTIgdJUV9ORVdTAgAAAAE1ATUAAAAAAwAAAAAAAAAGInBsdHIiBHBsdHIBAAAACSJJUV9ORVdTIgdJUV9ORVdTAgAAAAE2ATaTHXCMmePeCJMdcIyZ494IKkNJUVJBTkdFLlBMVFIuSVFfTkVXUy4xLjI1Li4uLi5ORVdTIFNPVVJDRQMAAABl+pgCBgAAAAAAAAADAAAAAAAAAAYicGx0ciIEcGx0cgEAAAAJIklRX05FV1MiB0lRX05FV1MCAAAAATEBMQAAAAADAAAAAAAAAAYicGx0ciIEcGx0cgEAAAAJIklRX05FV1MiB0lRX05FV1MCAAAAATIBMgAAAAADAAAAAAAAAAYicGx0ciIEcGx0cgEAAAAJIklRX05FV1MiB0lRX05FV1MCAAAAATMBMwAAAAADAAAAAAAAAAYicGx0ciIEcGx0cgEAAAAJIklRX05FV1MiB0lRX05FV1MCAAAAATQBNAAAAAADAAAAAAAAAAYicGx0ciIEcGx0cgEAAAAJIklRX05FV1MiB0lRX05FV1MCAAAAATUBNQAAAAADAAAAAAAAAAYicGx0ciIEcGx0cgEAAAAJIklRX05FV1MiB0lRX05FV1MCAAAAATYBNpMdcIyZ494I</t>
  </si>
  <si>
    <t>kx1wjJnj3ggYQ0lRLlBMVFIuSVFfUEVHX0ZXRC42MDAwAQAAAGX6mAICAAAAEDEuNjQ2MDEzMjc3NTIwMzEBDQAAAAUAAAABOQEAAAAJNjg3OTk5Njk5AgAAAAc0ODc2MTQ3AwAAAAYxMDAzMTEEAAAAATIGAAAAATAHAAAAAzE2MAgAAAABMAkAAAABMQoAAAABMAsAAAALMTQ4NjcwMzU2ODAMAAAAAjEyDQAAAAk3LzE3LzIwMjaTHXCMmePeCPZpk4yZ494IIENJUS5QTFRSLklRX1BFX0VYQ0xfRldEX0NJUS42MDAwAQAAAGX6mAICAAAAEDg0LjYxMTk5NTcyMDMwOTcBDQAAAAUAAAABOQEAAAAJNjg3OTk5Njk5AgAAAAc0ODc2MTQ3AwAAAAYxMDAzMDkEAAAAATIGAAAAATAHAAAAAzE2MAgAAAABMAkAAAABMQoAAAABMAsAAAALMTQ4NjcwMzU2ODAMAAAAAjEyDQAAAAk3LzE3LzIwMjaTHXCMmePeCPZpk4yZ494IIUNJUS5QTFRSLklRX1BFX0VYQ0xfRldEX0NJUS4xMDAwMAEAAABl+pgCAwAAAAAAkx1wjJnj3gj2aZOMmePeCB1DSVEuUExUUi5JUV9DQVNIX09QRVJfQ1MuMjAwMAEAAABl+pgCAgAAAAgyNzIzLjM3NQEJAAAABQAAAAIxOQEAAAAIMjk3NTA3MjgCAAAABTMyODI0CQAAAAItMQMAAAADMTYwBgAAAAg1LzUvMjAyNgcAAAAJNy8xNi8yMDI2CAAAAAEwBAAAAAEwkx1wjJnj3gj2aZOMmePeCBxDSVEuUExUUi5JUV9DQVNIX09QRVJfQ1MuOTk2AQAAAGX6mAICAAAABzMzMy44NTEBCQAAAAUAAAAC</t>
  </si>
  <si>
    <t>MTkBAAAACDI1Mjk5NjQ4AgAAAAUzMjgyNAkAAAACLTEDAAAAAzE2MAYAAAAJMi8xNy8yMDIyBwAAAAk3LzE2LzIwMjYIAAAAATAEAAAAATCTHXCMmePeCPZpk4yZ494IHENJUS5QTFRSLklRX0NBU0hfT1BFUl9DUy45OTcBAAAAZfqYAgIAAAAHMjIzLjczNwEJAAAABQAAAAIxOQEAAAAIMjYzNjQxMzQCAAAABTMyODI0CQAAAAItMQMAAAADMTYwBgAAAAkyLzE0LzIwMjMHAAAACTcvMTYvMjAyNggAAAABMAQAAAABMJMdcIyZ494I9mmTjJnj3ggcQ0lRLlBMVFIuSVFfQ0FTSF9PUEVSX0NTLjk5OAEAAABl+pgCAgAAAAc3MTIuMTgzAQkAAAAFAAAAAjE5AQAAAAgyNzQwMTMwNwIAAAAFMzI4MjQJAAAAAi0xAwAAAAMxNjAGAAAACDIvNi8yMDI0BwAAAAk3LzE2LzIwMjYIAAAAATAEAAAAATCTHXCMmePeCPZpk4yZ494IHENJUS5QTFRSLklRX0NBU0hfT1BFUl9DUy45OTkBAAAAZfqYAgIAAAAIMTE1My44NjUBCQAAAAUAAAACMTkBAAAACDI4NDYxNzUyAgAAAAUzMjgyNAkAAAACLTEDAAAAAzE2MAYAAAAIMi80LzIwMjUHAAAACTcvMTYvMjAyNggAAAABMAQAAAABMJMdcIyZ494I9mmTjJnj3ggdQ0lRLlBMVFIuSVFfQ0FTSF9PUEVSX0NTLjEwMDABAAAAZfqYAgIAAAAIMjEzNC40NzMBCQAAAAUAAAACMTkBAAAACDI5NDU4MDYzAgAAAAUzMjgyNAkAAAACLTEDAAAAAzE2MAYAAAAIMi8zLzIwMjYHAAAACTcv</t>
  </si>
  <si>
    <t>MTYvMjAyNggAAAABMAQAAAABMJMdcIyZ494I9mmTjJnj3ggeQ0lRLlBMVFIuSVFfRklMSU5HX0NVUlJFTkNZX0NTAQAAAGX6mAIDAAAAA1VTRACTHXCMmePeCPZpk4yZ494IHENJUS5QTFRSLklRX0RJTFVUX1dFSUdIVC45OTcBAAAAZfqYAgIAAAAIMjA2My43OTMAkx1wjJnj3gi7pJOMmePeCBxDSVEuUExUUi5JUV9ESUxVVF9XRUlHSFQuOTk4AQAAAGX6mAICAAAACDIyOTcuOTI3AJMdcIyZ494Iu6STjJnj3ggcQ0lRLlBMVFIuSVFfRElMVVRfV0VJR0hULjk5OQEAAABl+pgCAgAAAAgyNDUwLjgxOACTHXCMmePeCLukk4yZ494IHUNJUS5QTFRSLklRX0RJTFVUX1dFSUdIVC4xMDAwAQAAAGX6mAICAAAACDI1NjUuMTk3AJMdcIyZ494Iu6STjJnj3ggdQ0lRLlBMVFIuSVFfRElMVVRfV0VJR0hULjIwMDABAAAAZfqYAgIAAAAJMjU2OS43MjM1AJMdcIyZ494Iu6STjJnj3ggcQ0lRLlBMVFIuSVFfVE9UQUxfQVNTRVRTLjk5OAEAAABl+pgCAgAAAAg0NTIyLjQyNQEIAAAABQAAAAExAQAAAAstMTkwNjEyNTQwMwMAAAADMTYwAgAAAAQxMDA3BAAAAAEwBwAAAAk3LzE2LzIwMjYIAAAACjEyLzMxLzIwMjMJAAAAATCTHXCMmePeCLukk4yZ494IHENJUS5QTFRSLklRX1RPVEFMX0FTU0VUUy45OTkBAAAAZfqYAgIAAAAINjM0MC44ODQBCAAAAAUAAAABMQEAAAALLTE5MDYxMjUzODgDAAAAAzE2MAIAAAAEMTAw</t>
  </si>
  <si>
    <t>NwQAAAABMAcAAAAJNy8xNi8yMDI2CAAAAAoxMi8zMS8yMDI0CQAAAAEwkx1wjJnj3gi7pJOMmePeCB1DSVEuUExUUi5JUV9UT1RBTF9BU1NFVFMuMTAwMAEAAABl+pgCAgAAAAg4OTAwLjM5MgEIAAAABQAAAAExAQAAAAstMTkwNjEyNTM5MgMAAAADMTYwAgAAAAQxMDA3BAAAAAEwBwAAAAk3LzE2LzIwMjYIAAAACjEyLzMxLzIwMjUJAAAAATCTHXCMmePeCLukk4yZ494IHUNJUS5QTFRSLklRX1RPVEFMX0FTU0VUUy4yMDAwAQAAAGX6mAICAAAACTEwMTk5LjE4MwEIAAAABQAAAAExAQAAAAstMTg5MTU2OTg0NwMAAAADMTYwAgAAAAQxMDA3BAAAAAEwBwAAAAk3LzE2LzIwMjYIAAAACTMvMzEvMjAyNgkAAAABMJMdcIyZ494Iu6STjJnj3ggcQ0lRLlBMVFIuSVFfRElMVVRfV0VJR0hULjk5NgEAAABl+pgCAgAAAAgxOTIzLjYxNwCTHXCMmePeCLukk4yZ494IHENJUS5QTFRSLklRX1RPVEFMX0VRVUlUWS45OTkBAAAAZfqYAgIAAAAINTA5NC40MDcBCAAAAAUAAAABMQEAAAALLTE5MDYxMjUzODgDAAAAAzE2MAIAAAAEMTI3NQQAAAABMAcAAAAJNy8xNi8yMDI2CAAAAAoxMi8zMS8yMDI0CQAAAAEwkx1wjJnj3gi7pJOMmePeCB1DSVEuUExUUi5JUV9UT1RBTF9FUVVJVFkuMTAwMAEAAABl+pgCAgAAAAg3NDg4LjAxMQEIAAAABQAAAAExAQAAAAstMTkwNjEyNTM5MgMAAAADMTYwAgAAAAQxMjc1BAAAAAEw</t>
  </si>
  <si>
    <t>BwAAAAk3LzE2LzIwMjYIAAAACjEyLzMxLzIwMjUJAAAAATCTHXCMmePeCLukk4yZ494IHUNJUS5QTFRSLklRX1RPVEFMX0VRVUlUWS4yMDAwAQAAAGX6mAICAAAACDg1NTYuMjgxAQgAAAAFAAAAATEBAAAACy0xODkxNTY5ODQ3AwAAAAMxNjACAAAABDEyNzUEAAAAATAHAAAACTcvMTYvMjAyNggAAAAJMy8zMS8yMDI2CQAAAAEwkx1wjJnj3gi7pJOMmePeCBxDSVEuUExUUi5JUV9UT1RBTF9BU1NFVFMuOTk2AQAAAGX6mAICAAAABzMyNDcuNDUBCAAAAAUAAAABMQEAAAALLTIwMDk1ODYzMTMDAAAAAzE2MAIAAAAEMTAwNwQAAAABMAcAAAAJNy8xNi8yMDI2CAAAAAoxMi8zMS8yMDIxCQAAAAEwkx1wjJnj3gi7pJOMmePeCBxDSVEuUExUUi5JUV9UT1RBTF9BU1NFVFMuOTk3AQAAAGX6mAICAAAACDM0NjEuMjM5AQgAAAAFAAAAATEBAAAACy0xOTU5MjYyMDcyAwAAAAMxNjACAAAABDEwMDcEAAAAATAHAAAACTcvMTYvMjAyNggAAAAKMTIvMzEvMjAyMgkAAAABMJMdcIyZ494Iu6STjJnj3ggbQ0lRLlBMVFIuSVFfVE9UQUxfREVCVC4xMDAwAQAAAGX6mAICAAAABzIyOS4zMzgBCAAAAAUAAAABMQEAAAALLTE5MDYxMjUzOTIDAAAAAzE2MAIAAAAENDE3MwQAAAABMAcAAAAJNy8xNi8yMDI2CAAAAAoxMi8zMS8yMDI1CQAAAAEwkx1wjJnj3gi7pJOMmePeCBtDSVEuUExUUi5JUV9UT1RBTF9ERUJULjIwMDAB</t>
  </si>
  <si>
    <t>AAAAZfqYAgIAAAAHMjExLjk3NwEIAAAABQAAAAExAQAAAAstMTg5MTU2OTg0NwMAAAADMTYwAgAAAAQ0MTczBAAAAAEwBwAAAAk3LzE2LzIwMjYIAAAACTMvMzEvMjAyNgkAAAABMJMdcIyZ494Iu6STjJnj3ggcQ0lRLlBMVFIuSVFfVE9UQUxfRVFVSVRZLjk5NgEAAABl+pgCAgAAAAcyMjkxLjAzAQgAAAAFAAAAATEBAAAACy0yMDA5NTg2MzEzAwAAAAMxNjACAAAABDEyNzUEAAAAATAHAAAACTcvMTYvMjAyNggAAAAKMTIvMzEvMjAyMQkAAAABMJMdcIyZ494Iu6STjJnj3ggcQ0lRLlBMVFIuSVFfVE9UQUxfRVFVSVRZLjk5NwEAAABl+pgCAgAAAAgyNjQyLjQzNwEIAAAABQAAAAExAQAAAAstMTk1OTI2MjA3MgMAAAADMTYwAgAAAAQxMjc1BAAAAAEwBwAAAAk3LzE2LzIwMjYIAAAACjEyLzMxLzIwMjIJAAAAATCTHXCMmePeCLukk4yZ494IHENJUS5QTFRSLklRX1RPVEFMX0VRVUlUWS45OTgBAAAAZfqYAgIAAAAIMzU2MC45NjUBCAAAAAUAAAABMQEAAAALLTE5MDYxMjU0MDMDAAAAAzE2MAIAAAAEMTI3NQQAAAABMAcAAAAJNy8xNi8yMDI2CAAAAAoxMi8zMS8yMDIzCQAAAAEwkx1wjJnj3gi7pJOMmePeCB9DSVEuUExUUi5JUV9DQVNIX1NUX0lOVkVTVC4yMDAwAQAAAGX6mAICAAAACDgwMjYuNDEzAQgAAAAFAAAAATEBAAAACy0xODkxNTY5ODQ3AwAAAAMxNjACAAAABDEwMDIEAAAAATAHAAAACTcv</t>
  </si>
  <si>
    <t>MTYvMjAyNggAAAAJMy8zMS8yMDI2CQAAAAEwkx1wjJnj3gi7pJOMmePeCBpDSVEuUExUUi5JUV9UT1RBTF9ERUJULjk5NgEAAABl+pgCAgAAAAcyNjAuMDczAQgAAAAFAAAAATEBAAAACy0yMDA5NTg2MzEzAwAAAAMxNjACAAAABDQxNzMEAAAAATAHAAAACTcvMTYvMjAyNggAAAAKMTIvMzEvMjAyMQkAAAABMJMdcIyZ494Iu6STjJnj3ggaQ0lRLlBMVFIuSVFfVE9UQUxfREVCVC45OTcBAAAAZfqYAgIAAAAHMjQ5LjQwNAEIAAAABQAAAAExAQAAAAstMTk1OTI2MjA3MgMAAAADMTYwAgAAAAQ0MTczBAAAAAEwBwAAAAk3LzE2LzIwMjYIAAAACjEyLzMxLzIwMjIJAAAAATCTHXCMmePeCLukk4yZ494IGkNJUS5QTFRSLklRX1RPVEFMX0RFQlQuOTk4AQAAAGX6mAICAAAABzIyOS4zOTIBCAAAAAUAAAABMQEAAAALLTE5MDYxMjU0MDMDAAAAAzE2MAIAAAAENDE3MwQAAAABMAcAAAAJNy8xNi8yMDI2CAAAAAoxMi8zMS8yMDIzCQAAAAEwkx1wjJnj3gi7pJOMmePeCBpDSVEuUExUUi5JUV9UT1RBTF9ERUJULjk5OQEAAABl+pgCAgAAAAcyMzkuMjE5AQgAAAAFAAAAATEBAAAACy0xOTA2MTI1Mzg4AwAAAAMxNjACAAAABDQxNzMEAAAAATAHAAAACTcvMTYvMjAyNggAAAAKMTIvMzEvMjAyNAkAAAABMJMdcIyZ494Iu6STjJnj3ggeQ0lRLlBMVFIuSVFfQ0FTSF9TVF9JTlZFU1QuOTk2AQAAAGX6mAICAAAACDI1</t>
  </si>
  <si>
    <t>MjQuODI3AQgAAAAFAAAAATEBAAAACy0yMDA5NTg2MzEzAwAAAAMxNjACAAAABDEwMDIEAAAAATAHAAAACTcvMTYvMjAyNggAAAAKMTIvMzEvMjAyMQkAAAABMJMdcIyZ494Iu6STjJnj3ggeQ0lRLlBMVFIuSVFfQ0FTSF9TVF9JTlZFU1QuOTk3AQAAAGX6mAICAAAACDI2MzMuNjc1AQgAAAAFAAAAATEBAAAACy0xOTU5MjYyMDcyAwAAAAMxNjACAAAABDEwMDIEAAAAATAHAAAACTcvMTYvMjAyNggAAAAKMTIvMzEvMjAyMgkAAAABMJMdcIyZ494Iu6STjJnj3ggeQ0lRLlBMVFIuSVFfQ0FTSF9TVF9JTlZFU1QuOTk4AQAAAGX6mAICAAAACDM2NzQuMTc5AQgAAAAFAAAAATEBAAAACy0xOTA2MTI1NDAzAwAAAAMxNjACAAAABDEwMDIEAAAAATAHAAAACTcvMTYvMjAyNggAAAAKMTIvMzEvMjAyMwkAAAABMJMdcIyZ494Iu6STjJnj3ggeQ0lRLlBMVFIuSVFfQ0FTSF9TVF9JTlZFU1QuOTk5AQAAAGX6mAICAAAACDUyMjkuOTg3AQgAAAAFAAAAATEBAAAACy0xOTA2MTI1Mzg4AwAAAAMxNjACAAAABDEwMDIEAAAAATAHAAAACTcvMTYvMjAyNggAAAAKMTIvMzEvMjAyNAkAAAABMJMdcIyZ494Iu6STjJnj3ggfQ0lRLlBMVFIuSVFfQ0FTSF9TVF9JTlZFU1QuMTAwMAEAAABl+pgCAgAAAAg3MTc3LjA0MwEIAAAABQAAAAExAQAAAAstMTkwNjEyNTM5MgMAAAADMTYwAgAAAAQxMDAyBAAAAAEwBwAAAAk3LzE2LzIw</t>
  </si>
  <si>
    <t>MjYIAAAACjEyLzMxLzIwMjUJAAAAATCTHXCMmePeCLukk4yZ494IGkNJUS5QTFRSLklRX0NPTU1PTl9SRVAuOTk3AQAAAGX6mAIDAAAAAACTHXCMmePeCLukk4yZ494IGkNJUS5QTFRSLklRX0NPTU1PTl9SRVAuOTk4AQAAAGX6mAIDAAAAAACTHXCMmePeCLukk4yZ494IGkNJUS5QTFRSLklRX0NPTU1PTl9SRVAuOTk5AQAAAGX6mAICAAAACC0yODIuNDc2AQgAAAAFAAAAATEBAAAACy0xOTA2MTI1Mzg4AwAAAAMxNjACAAAABDIxNjQEAAAAATAHAAAACTcvMTYvMjAyNggAAAAKMTIvMzEvMjAyNAkAAAABMJMdcIyZ494Iu6STjJnj3ggbQ0lRLlBMVFIuSVFfQ09NTU9OX1JFUC4xMDAwAQAAAGX6mAICAAAACC0xNTYuMTAyAQgAAAAFAAAAATEBAAAACy0xOTA2MTI1MzkyAwAAAAMxNjACAAAABDIxNjQEAAAAATAHAAAACTcvMTYvMjAyNggAAAAKMTIvMzEvMjAyNQkAAAABMJMdcIyZ494Iu6STjJnj3gghQ0lRLlBMVFIuSVFfVE9UQUxfRElWX1BBSURfQ0YuOTk4AQAAAGX6mAIDAAAAAACTHXCMmePeCLukk4yZ494IIUNJUS5QTFRSLklRX1RPVEFMX0RJVl9QQUlEX0NGLjk5OQEAAABl+pgCAwAAAAAAkx1wjJnj3gj2aZOMmePeCCJDSVEuUExUUi5JUV9UT1RBTF9ESVZfUEFJRF9DRi4xMDAwAQAAAGX6mAIDAAAAAACTHXCMmePeCPZpk4yZ494IIkNJUS5QTFRSLklRX1RPVEFMX0RJVl9QQUlEX0NGLjIwMDAB</t>
  </si>
  <si>
    <t>AAAAZfqYAgMAAAAAAJMdcIyZ494Iu6STjJnj3ggaQ0lRLlBMVFIuSVFfQ09NTU9OX1JFUC45OTYBAAAAZfqYAgMAAAAAAJMdcIyZ494Iu6STjJnj3ggeQ0lRLlBMVFIuSVFfU1RPQ0tfQkFTRURfQ0YuOTk5AQAAAGX6mAICAAAABzY5MS42MzgBCAAAAAUAAAABMQEAAAALLTE5MDYxMjUzODgDAAAAAzE2MAIAAAAEMjEyNwQAAAABMAcAAAAJNy8xNi8yMDI2CAAAAAoxMi8zMS8yMDI0CQAAAAEwkx1wjJnj3gi7pJOMmePeCB9DSVEuUExUUi5JUV9TVE9DS19CQVNFRF9DRi4xMDAwAQAAAGX6mAICAAAABzY4NC4wMzMBCAAAAAUAAAABMQEAAAALLTE5MDYxMjUzOTIDAAAAAzE2MAIAAAAEMjEyNwQAAAABMAcAAAAJNy8xNi8yMDI2CAAAAAoxMi8zMS8yMDI1CQAAAAEwkx1wjJnj3gj2aZOMmePeCB9DSVEuUExUUi5JUV9TVE9DS19CQVNFRF9DRi4yMDAwAQAAAGX6mAICAAAABzczMC4yODYBCAAAAAUAAAABMQEAAAALLTE4OTE1Njk4NDcDAAAAAzE2MAIAAAAEMjEyNwQAAAABMAcAAAAJNy8xNi8yMDI2CAAAAAkzLzMxLzIwMjYJAAAAATCTHXCMmePeCPZpk4yZ494IIUNJUS5QTFRSLklRX1RPVEFMX0RJVl9QQUlEX0NGLjk5NgEAAABl+pgCAwAAAAAAkx1wjJnj3gj2aZOMmePeCCFDSVEuUExUUi5JUV9UT1RBTF9ESVZfUEFJRF9DRi45OTcBAAAAZfqYAgMAAAAAAJMdcIyZ494I9mmTjJnj3ggWQ0lRLlBMVFIu</t>
  </si>
  <si>
    <t>SVFfQ0FQRVguMTAwMAEAAABl+pgCAgAAAActMzMuODgyAQgAAAAFAAAAATEBAAAACy0xOTA2MTI1MzkyAwAAAAMxNjACAAAABDIwMjEEAAAAATAHAAAACTcvMTYvMjAyNggAAAAKMTIvMzEvMjAyNQkAAAABMJMdcIyZ494I9mmTjJnj3ggWQ0lRLlBMVFIuSVFfQ0FQRVguMjAwMAEAAABl+pgCAgAAAActMzUuMDk5AQgAAAAFAAAAATEBAAAACy0xODkxNTY5ODQ3AwAAAAMxNjACAAAABDIwMjEEAAAAATAHAAAACTcvMTYvMjAyNggAAAAJMy8zMS8yMDI2CQAAAAEwkx1wjJnj3gj2aZOMmePeCB5DSVEuUExUUi5JUV9TVE9DS19CQVNFRF9DRi45OTYBAAAAZfqYAgIAAAAHNzc4LjIxNQEIAAAABQAAAAExAQAAAAstMjAwOTU4NjMxMwMAAAADMTYwAgAAAAQyMTI3BAAAAAEwBwAAAAk3LzE2LzIwMjYIAAAACjEyLzMxLzIwMjEJAAAAATCTHXCMmePeCPZpk4yZ494IHkNJUS5QTFRSLklRX1NUT0NLX0JBU0VEX0NGLjk5NwEAAABl+pgCAgAAAAc1NjQuNzk4AQgAAAAFAAAAATEBAAAACy0xOTU5MjYyMDcyAwAAAAMxNjACAAAABDIxMjcEAAAAATAHAAAACTcvMTYvMjAyNggAAAAKMTIvMzEvMjAyMgkAAAABMJMdcIyZ494I9mmTjJnj3ggeQ0lRLlBMVFIuSVFfU1RPQ0tfQkFTRURfQ0YuOTk4AQAAAGX6mAICAAAABzQ3NS45MDMBCAAAAAUAAAABMQEAAAALLTE5MDYxMjU0MDMDAAAAAzE2MAIAAAAEMjEyNwQAAAAB</t>
  </si>
  <si>
    <t>MAcAAAAJNy8xNi8yMDI2CAAAAAoxMi8zMS8yMDIzCQAAAAEwkx1wjJnj3gj2aZOMmePeCBVDSVEuUExUUi5JUV9DQVBFWC45OTYBAAAAZfqYAgIAAAAHLTEyLjYyNwEIAAAABQAAAAExAQAAAAstMjAwOTU4NjMxMwMAAAADMTYwAgAAAAQyMDIxBAAAAAEwBwAAAAk3LzE2LzIwMjYIAAAACjEyLzMxLzIwMjEJAAAAATCTHXCMmePeCPZpk4yZ494IFUNJUS5QTFRSLklRX0NBUEVYLjk5NwEAAABl+pgCAgAAAActNDAuMDI3AQgAAAAFAAAAATEBAAAACy0xOTU5MjYyMDcyAwAAAAMxNjACAAAABDIwMjEEAAAAATAHAAAACTcvMTYvMjAyNggAAAAKMTIvMzEvMjAyMgkAAAABMJMdcIyZ494I9mmTjJnj3ggVQ0lRLlBMVFIuSVFfQ0FQRVguOTk4AQAAAGX6mAICAAAABy0xNS4xMTQBCAAAAAUAAAABMQEAAAALLTE5MDYxMjU0MDMDAAAAAzE2MAIAAAAEMjAyMQQAAAABMAcAAAAJNy8xNi8yMDI2CAAAAAoxMi8zMS8yMDIzCQAAAAEwkx1wjJnj3gj2aZOMmePeCBVDSVEuUExUUi5JUV9DQVBFWC45OTkBAAAAZfqYAgIAAAAHLTEyLjYzNAEIAAAABQAAAAExAQAAAAstMTkwNjEyNTM4OAMAAAADMTYwAgAAAAQyMDIxBAAAAAEwBwAAAAk3LzE2LzIwMjYIAAAACjEyLzMxLzIwMjQJAAAAATCTHXCMmePeCPZpk4yZ494IEkNJUS5QTFRSLklRX05JLjk5NwEAAABl+pgCAgAAAAgtMzczLjcwNQEIAAAABQAAAAExAQAAAAst</t>
  </si>
  <si>
    <t>MTk1OTI2MjA3MgMAAAADMTYwAgAAAAIxNQQAAAABMAcAAAAJNy8xNi8yMDI2CAAAAAoxMi8zMS8yMDIyCQAAAAEwkx1wjJnj3gj2aZOMmePeCBJDSVEuUExUUi5JUV9OSS45OTgBAAAAZfqYAgIAAAAHMjA5LjgyNQEIAAAABQAAAAExAQAAAAstMTkwNjEyNTQwMwMAAAADMTYwAgAAAAIxNQQAAAABMAcAAAAJNy8xNi8yMDI2CAAAAAoxMi8zMS8yMDIzCQAAAAEwkx1wjJnj3gj2aZOMmePeCBJDSVEuUExUUi5JUV9OSS45OTkBAAAAZfqYAgIAAAAGNDYyLjE5AQgAAAAFAAAAATEBAAAACy0xOTA2MTI1Mzg4AwAAAAMxNjACAAAAAjE1BAAAAAEwBwAAAAk3LzE2LzIwMjYIAAAACjEyLzMxLzIwMjQJAAAAATCTHXCMmePeCPZpk4yZ494IE0NJUS5QTFRSLklRX05JLjEwMDABAAAAZfqYAgIAAAAIMTYyNS4wMzMBCAAAAAUAAAABMQEAAAALLTE5MDYxMjUzOTIDAAAAAzE2MAIAAAACMTUEAAAAATAHAAAACTcvMTYvMjAyNggAAAAKMTIvMzEvMjAyNQkAAAABMJMdcIyZ494I9mmTjJnj3ggTQ0lRLlBMVFIuSVFfTkkuMjAwMAEAAABl+pgCAgAAAAgyMjgxLjUyOQEIAAAABQAAAAExAQAAAAstMTg5MTU2OTg0NwMAAAADMTYwAgAAAAIxNQQAAAABMAcAAAAJNy8xNi8yMDI2CAAAAAkzLzMxLzIwMjYJAAAAATCTHXCMmePeCPZpk4yZ494IFkNJUS5QTFRSLklRX0VCSVREQS45OTgBAAAAZfqYAgIAAAAGMTUzLjMyAQgA</t>
  </si>
  <si>
    <t>AAAFAAAAATEBAAAACy0xOTA2MTI1NDAzAwAAAAMxNjACAAAABDQwNTEEAAAAATAHAAAACTcvMTYvMjAyNggAAAAKMTIvMzEvMjAyMwkAAAABMJMdcIyZ494I9mmTjJnj3ggWQ0lRLlBMVFIuSVFfRUJJVERBLjk5OQEAAABl+pgCAgAAAAYzNDEuOTkBCAAAAAUAAAABMQEAAAALLTE5MDYxMjUzODgDAAAAAzE2MAIAAAAENDA1MQQAAAABMAcAAAAJNy8xNi8yMDI2CAAAAAoxMi8zMS8yMDI0CQAAAAEwkx1wjJnj3gj2aZOMmePeCBdDSVEuUExUUi5JUV9FQklUREEuMTAwMAEAAABl+pgCAgAAAAcxNDQwLjE2AQgAAAAFAAAAATEBAAAACy0xOTA2MTI1MzkyAwAAAAMxNjACAAAABDQwNTEEAAAAATAHAAAACTcvMTYvMjAyNggAAAAKMTIvMzEvMjAyNQkAAAABMJMdcIyZ494I9mmTjJnj3ggSQ0lRLlBMVFIuSVFfTkkuOTk2AQAAAGX6mAICAAAACC01MjAuMzc5AQgAAAAFAAAAATEBAAAACy0yMDA5NTg2MzEzAwAAAAMxNjACAAAAAjE1BAAAAAEwBwAAAAk3LzE2LzIwMjYIAAAACjEyLzMxLzIwMjEJAAAAATCTHXCMmePeCPZpk4yZ494IGENJUS5QTFRSLklRX09QRVJfSU5DLjk5OQEAAABl+pgCAgAAAAczMTAuNDAzAQgAAAAFAAAAATEBAAAACy0xOTA2MTI1Mzg4AwAAAAMxNjACAAAAAjIxBAAAAAEwBwAAAAk3LzE2LzIwMjYIAAAACjEyLzMxLzIwMjQJAAAAATCTHXCMmePeCPZpk4yZ494IGUNJUS5QTFRSLklR</t>
  </si>
  <si>
    <t>X09QRVJfSU5DLjEwMDABAAAAZfqYAgIAAAAIMTQxNC4wMTUBCAAAAAUAAAABMQEAAAALLTE5MDYxMjUzOTIDAAAAAzE2MAIAAAACMjEEAAAAATAHAAAACTcvMTYvMjAyNggAAAAKMTIvMzEvMjAyNQkAAAABMJMdcIyZ494I9mmTjJnj3ggZQ0lRLlBMVFIuSVFfT1BFUl9JTkMuMjAwMAEAAABl+pgCAgAAAAgxOTkxLjk2NQEIAAAABQAAAAExAQAAAAstMTg5MTU2OTg0NwMAAAADMTYwAgAAAAIyMQQAAAABMAcAAAAJNy8xNi8yMDI2CAAAAAkzLzMxLzIwMjYJAAAAATCTHXCMmePeCPZpk4yZ494IFkNJUS5QTFRSLklRX0VCSVREQS45OTYBAAAAZfqYAgIAAAAILTM5Ni4xNDkBCAAAAAUAAAABMQEAAAALLTIwMDk1ODYzMTMDAAAAAzE2MAIAAAAENDA1MQQAAAABMAcAAAAJNy8xNi8yMDI2CAAAAAoxMi8zMS8yMDIxCQAAAAEwkx1wjJnj3gj2aZOMmePeCBZDSVEuUExUUi5JUV9FQklUREEuOTk3AQAAAGX6mAICAAAACC0xMzguNjc5AQgAAAAFAAAAATEBAAAACy0xOTU5MjYyMDcyAwAAAAMxNjACAAAABDQwNTEEAAAAATAHAAAACTcvMTYvMjAyNggAAAAKMTIvMzEvMjAyMgkAAAABMJMdcIyZ494I9mmTjJnj3ggTQ0lRLlBMVFIuSVFfR1AuMTAwMAEAAABl+pgCAgAAAAgzNjg2LjI2OQEIAAAABQAAAAExAQAAAAstMTkwNjEyNTM5MgMAAAADMTYwAgAAAAIxMAQAAAABMAcAAAAJNy8xNi8yMDI2CAAAAAoxMi8z</t>
  </si>
  <si>
    <t>MS8yMDI1CQAAAAEwkx1wjJnj3gj2aZOMmePeCBNDSVEuUExUUi5JUV9HUC4yMDAwAQAAAGX6mAICAAAACDQzOTIuMTY5AQgAAAAFAAAAATEBAAAACy0xODkxNTY5ODQ3AwAAAAMxNjACAAAAAjEwBAAAAAEwBwAAAAk3LzE2LzIwMjYIAAAACTMvMzEvMjAyNgkAAAABMJMdcIyZ494I9mmTjJnj3ggYQ0lRLlBMVFIuSVFfT1BFUl9JTkMuOTk2AQAAAGX6mAICAAAACC00MTEuMDQ2AQgAAAAFAAAAATEBAAAACy0yMDA5NTg2MzEzAwAAAAMxNjACAAAAAjIxBAAAAAEwBwAAAAk3LzE2LzIwMjYIAAAACjEyLzMxLzIwMjEJAAAAATCTHXCMmePeCPZpk4yZ494IGENJUS5QTFRSLklRX09QRVJfSU5DLjk5NwEAAABl+pgCAgAAAAgtMTYxLjIwMQEIAAAABQAAAAExAQAAAAstMTk1OTI2MjA3MgMAAAADMTYwAgAAAAIyMQQAAAABMAcAAAAJNy8xNi8yMDI2CAAAAAoxMi8zMS8yMDIyCQAAAAEwkx1wjJnj3gj2aZOMmePeCBhDSVEuUExUUi5JUV9PUEVSX0lOQy45OTgBAAAAZfqYAgIAAAAHMTE5Ljk2NgEIAAAABQAAAAExAQAAAAstMTkwNjEyNTQwMwMAAAADMTYwAgAAAAIyMQQAAAABMAcAAAAJNy8xNi8yMDI2CAAAAAoxMi8zMS8yMDIzCQAAAAEwkx1wjJnj3gj2aZOMmePeCBpDSVEuUExUUi5JUV9UT1RBTF9SRVYuMjAwMAEAAABl+pgCAgAAAAg1MjI0LjE3NAEIAAAABQAAAAExAQAAAAstMTg5MTU2OTg0NwMAAAAD</t>
  </si>
  <si>
    <t>MTYwAgAAAAIyOAQAAAABMAcAAAAJNy8xNi8yMDI2CAAAAAkzLzMxLzIwMjYJAAAAATCTHXCMmePeCPZpk4yZ494IEkNJUS5QTFRSLklRX0dQLjk5NgEAAABl+pgCAgAAAAgxMjAyLjQ4NQEIAAAABQAAAAExAQAAAAstMjAwOTU4NjMxMwMAAAADMTYwAgAAAAIxMAQAAAABMAcAAAAJNy8xNi8yMDI2CAAAAAoxMi8zMS8yMDIxCQAAAAEwkx1wjJnj3gj2aZOMmePeCBJDSVEuUExUUi5JUV9HUC45OTcBAAAAZfqYAgIAAAAIMTQ5Ny4zMjIBCAAAAAUAAAABMQEAAAALLTE5NTkyNjIwNzIDAAAAAzE2MAIAAAACMTAEAAAAATAHAAAACTcvMTYvMjAyNggAAAAKMTIvMzEvMjAyMgkAAAABMJMdcIyZ494I9mmTjJnj3ggSQ0lRLlBMVFIuSVFfR1AuOTk4AQAAAGX6mAICAAAACDE3OTMuOTA3AQgAAAAFAAAAATEBAAAACy0xOTA2MTI1NDAzAwAAAAMxNjACAAAAAjEwBAAAAAEwBwAAAAk3LzE2LzIwMjYIAAAACjEyLzMxLzIwMjMJAAAAATCTHXCMmePeCPZpk4yZ494IEkNJUS5QTFRSLklRX0dQLjk5OQEAAABl+pgCAgAAAAgyMjk5LjUxNwEIAAAABQAAAAExAQAAAAstMTkwNjEyNTM4OAMAAAADMTYwAgAAAAIxMAQAAAABMAcAAAAJNy8xNi8yMDI2CAAAAAoxMi8zMS8yMDI0CQAAAAEwkx1wjJnj3gj2aZOMmePeCBlDSVEuUExUUi5JUV9UT1RBTF9SRVYuOTk2AQAAAGX6mAICAAAACDE1NDEuODg5AQgAAAAFAAAAATEB</t>
  </si>
  <si>
    <t>AAAACy0yMDA5NTg2MzEzAwAAAAMxNjACAAAAAjI4BAAAAAEwBwAAAAk3LzE2LzIwMjYIAAAACjEyLzMxLzIwMjEJAAAAATCTHXCMmePeCPZpk4yZ494IGUNJUS5QTFRSLklRX1RPVEFMX1JFVi45OTcBAAAAZfqYAgIAAAAIMTkwNS44NzEBCAAAAAUAAAABMQEAAAALLTE5NTkyNjIwNzIDAAAAAzE2MAIAAAACMjgEAAAAATAHAAAACTcvMTYvMjAyNggAAAAKMTIvMzEvMjAyMgkAAAABMJMdcIyZ494I9mmTjJnj3ggZQ0lRLlBMVFIuSVFfVE9UQUxfUkVWLjk5OAEAAABl+pgCAgAAAAgyMjI1LjAxMgEIAAAABQAAAAExAQAAAAstMTkwNjEyNTQwMwMAAAADMTYwAgAAAAIyOAQAAAABMAcAAAAJNy8xNi8yMDI2CAAAAAoxMi8zMS8yMDIzCQAAAAEwkx1wjJnj3gj2aZOMmePeCBlDSVEuUExUUi5JUV9UT1RBTF9SRVYuOTk5AQAAAGX6mAICAAAACDI4NjUuNTA3AQgAAAAFAAAAATEBAAAACy0xOTA2MTI1Mzg4AwAAAAMxNjACAAAAAjI4BAAAAAEwBwAAAAk3LzE2LzIwMjYIAAAACjEyLzMxLzIwMjQJAAAAATCTHXCMmePeCPZpk4yZ494IGkNJUS5QTFRSLklRX1RPVEFMX1JFVi4xMDAwAQAAAGX6mAICAAAACDQ0NzUuNDQ2AQgAAAAFAAAAATEBAAAACy0xOTA2MTI1MzkyAwAAAAMxNjACAAAAAjI4BAAAAAEwBwAAAAk3LzE2LzIwMjYIAAAACjEyLzMxLzIwMjUJAAAAATCTHXCMmePeCPZpk4yZ494IJUNJUS5QTFRS</t>
  </si>
  <si>
    <t>LklRX1NIT1JUX0lOVEVSRVNUX09WRVJfRkxPQVQBAAAAZfqYAgIAAAAGNC4xNDY4AJMdcIyZ494I9mmTjJnj3ggfQ0lRLlBMVFIuSVFfQ1VSUkVOVF9SQVRJTy4xMDAwMAEAAABl+pgCAgAAAAg3LjEwOTgyMwEIAAAABQAAAAExAQAAAAstMTkwNjEyNDI1OAMAAAADMTYwAgAAAAQ0MDMwBAAAAAEwBwAAAAk3LzE2LzIwMjYIAAAACjEyLzMxLzIwMjUJAAAAATCTHXCMmePeCPZpk4yZ494IHUNJUS5QTFRSLklRX1FVSUNLX1JBVElPLjEwMDAwAQAAAGX6mAICAAAACDYuOTkxNTI4AQgAAAAFAAAAATEBAAAACy0xOTA2MTI0MjU4AwAAAAMxNjACAAAABDQxMjEEAAAAATAHAAAACTcvMTYvMjAyNggAAAAKMTIvMzEvMjAyNQkAAAABMJMdcIyZ494I9mmTjJnj3ggZQ0lRLlBMVFIuSVFfRUJJVF9JTlQuMjAwMAEAAABl+pgCAwAAAAAAkx1wjJnj3gj2aZOMmePeCBlDSVEuUExUUi5JUV9HV19JTlRBTi41MDAwAQAAAGX6mAIDAAAAAACTHXCMmePeCPZpk4yZ494IGkNJUS5QTFRSLklRX1RCVl9TSEFSRS41MDAwAQAAAGX6mAICAAAACDMuNTI0OTAzAQgAAAAFAAAAATEBAAAACy0xODkxNTcwOTgzAwAAAAMxNjACAAAABDQxNTYEAAAAATAHAAAACTcvMTYvMjAyNggAAAAJMy8zMS8yMDI2CQAAAAEwkx1wjJnj3gj2aZOMmePeCCJDSVEuUExUUi5JUV9UT1RBTF9ERUJUX0VRVUlUWS41MDAwAQAAAGX6mAICAAAABjIu</t>
  </si>
  <si>
    <t>NDc3NAEIAAAABQAAAAExAQAAAAstMTg5MTU3MDk4MwMAAAADMTYwAgAAAAQ0MDM0BAAAAAEwBwAAAAk3LzE2LzIwMjYIAAAACTMvMzEvMjAyNgkAAAABMJMdcIyZ494I9mmTjJnj3ggRQ0lRLlBMVFIuSVFfVEVWLi4BAAAAZfqYAgIAAAANMzE0NTg2LjgwNDE4NwEGAAAABQAAAAExAQAAAAstMTg5MTU3MDk4MwMAAAADMTYwAgAAAAYxMDAwNjAEAAAAATAHAAAACTcvMTYvMjAyNkYqwYyZ494I1TzSjJnj3ggaQ0lRLk1FVEEuSVFfVEVWLi4xNy1KVUwtMjYBAAAAF9s8AQIAAAANMTY5MjQ3Mi44MjI0NAEGAAAABQAAAAExAQAAAAstMTg5MjQ1OTA2NwMAAAADMTYwAgAAAAYxMDAwNjAEAAAAATAHAAAACTcvMTYvMjAyNngS5tia494IVEkK3Jrj3ggdQ0lRLk1FVEEuSVFfWUVBUkxPVy4xNy1KVUwtMjYBAAAAF9s8AQIAAAAGNTIwLjI2AHgS5tia494IVEkK3Jrj3ggeQ0lRLk1FVEEuSVFfWUVBUkhJR0guMTctSlVMLTI2AQAAABfbPAECAAAABjc5Ni4yNQB4EubYmuPeCFRJCtya494ILENJUS5NRVRBLklRX1NIQVJFU09VVFNUQU5ESU5HX09VVC4uMTctSlVMLTI2AQAAABfbPAECAAAACzI1MzguNDIzMzA0AHgS5tia494IVEkK3Jrj3ggZQ0lRLk1FVEEuSVFfVEVWLjE3LUpVTC0yNgEAAAAX2zwBAgAAAA0xNjkyNDcyLjgyMjQ0AQYAAAAFAAAAATEBAAAACy0xODkyNDU5MDY3AwAAAAMxNjACAAAABjEwMDA2</t>
  </si>
  <si>
    <t>MAQAAAABMAcAAAAJNy8xNi8yMDI2eBLm2Jrj3ghUSQrcmuPeCCBDSVEuTUVUQS5JUV9DTE9TRVBSSUNFLjE3LUpVTC0yNgEAAAAX2zwBAgAAAAY2NjQuNTQAeBLm2Jrj3ghUSQrcmuPeCB9DSVEuTUVUQS5JUV9NQVJLRVRDQVAuMTctSlVMLTI2AQAAABfbPAECAAAADTE2ODY4ODMuODIyNDQBBgAAAAUAAAABMQEAAAALLTE4OTI0NTkwNjcDAAAAAzE2MAIAAAAGMTAwMDU0BAAAAAEwBwAAAAk3LzE2LzIwMjZ4EubYmuPeCFRJCtya494IJENJUS5NRVRBLklRX0RJVklERU5EX1lJRUxELjE3LUpVTC0yNgEAAAAX2zwBAgAAAAYwLjMwODIAeBLm2Jrj3ghUSQrcmuPeCCBDSVEuTUVUQS5JUV9NQVJLRVRDQVAuLjE3LUpVTC0yNgEAAAAX2zwBAgAAAA0xNjg2ODgzLjgyMjQ0AQYAAAAFAAAAATEBAAAACy0xODkyNDU5MDY3AwAAAAMxNjACAAAABjEwMDA1NAQAAAABMAcAAAAJNy8xNi8yMDI2eBLm2Jrj3ghUSQrcmuPeCBxDSVEuTUVUQS5JUV9QUklDRV9TQUxFUy4yMDAwAQAAABfbPAECAAAAEDcuNzk4ODY5MTIwNTU1MjgBBwAAAAUAAAABMQEAAAALLTE4OTI0NTY3NTUDAAAAATACAAAABTM4OTU4BAAAAAEwBwAAAAk3LzE2LzIwMjYIAAAACTcvMTYvMjAyNngS5tia494IugII2Zrj3ggYQ0lRLk1FVEEuSVFfUEVfRVhDTC4yMDAwAQAAABfbPAECAAAAEDI0LjE3NDg1OTMxMDQyMzkBBwAAAAUAAAABMQEAAAAL</t>
  </si>
  <si>
    <t>LTE4OTI0NTY3NTUDAAAAATACAAAABjEwMDA2NgQAAAABMAcAAAAJNy8xNi8yMDI2CAAAAAk3LzE2LzIwMjZ4EubYmuPeCLoCCNma494IIUNJUS5NRVRBLklRX1RFVl9FQklUREEuLjE3LUpVTC0yNgEAAAAX2zwBAgAAAA8xNC45MTk3MzkwODcxNzIBBwAAAAUAAAABMQEAAAALLTE4OTI0NTY3NTUDAAAAATACAAAABjEwMDA2MwQAAAABMAcAAAAJNy8xNi8yMDI2CAAAAAk3LzE2LzIwMjZ4EubYmuPeCFRJCtya494IGkNJUS5NRVRBLklRX1BCVi4uMTctSlVMLTI2AQAAABfbPAECAAAAEDYuOTIxMzU0MjU1NzQ5NjUBBwAAAAUAAAABMQEAAAALLTE4OTI0NTY3NTUDAAAAATACAAAABjEwMDA2NwQAAAABMAcAAAAJNy8xNi8yMDI2CAAAAAk3LzE2LzIwMjZ4EubYmuPeCFRJCtya494IJENJUS5NRVRBLklRX1RFVl9UT1RBTF9SRVYuLjE3LUpVTC0yNgEAAAAX2zwBAgAAABA3Ljg3MzMyMTU1OTcxMTAyAQcAAAAFAAAAATEBAAAACy0xODkyNDU2NzU1AwAAAAEwAgAAAAYxMDAwNjEEAAAAATAHAAAACTcvMTYvMjAyNggAAAAJNy8xNi8yMDI2eBLm2Jrj3ghUSQrcmuPeCBRDSVEuTUVUQS5JUV9FWENIQU5HRQEAAAAX2zwBAwAAAAhOYXNkYXFHUwB4EubYmuPeCLoCCNma494IG0NJUS5NRVRBLklRX0NPTVBBTllfQUREUkVTUwEAAAAX2zwBAwAAADgxIE1ldGEgV2F5LCBNZW5sbyBQYXJrLCBDYWxpZm9ybmlhLCA5</t>
  </si>
  <si>
    <t>NDAyNSwgVW5pdGVkIFN0YXRlcwB4EubYmuPeCLoCCNma494IGENJUS5NRVRBLklRX0NPTVBBTllfTkFNRQEAAAAX2zwBAwAAABRNZXRhIFBsYXRmb3JtcywgSW5jLgB4EubYmuPeCLoCCNma494IHkNJUS5NRVRBLklRX0JFVEFfNVlSLjE3LUpVTC0yNgEAAAAX2zwBAgAAABAxLjI0NTY2ODczNTUzODkyAHgS5tia494IVEkK3Jrj3ggZQ0lRQVZHLk1FVEEuSVFfVk9MVU1FLi0zTQEAAAAX2zwBAgAAAA8xNy45MjI1MTA5NTIzODEAeBLm2Jrj3gi6AgjZmuPeCBtDSVEuTUVUQS5JUV9JTkRVU1RSWV9TRUNUT1IBAAAAF9s8AQMAAAAWQ29tbXVuaWNhdGlvbiBTZXJ2aWNlcwB4EubYmuPeCLoCCNma494IHENJUS5NRVRBLklRX1BSSU1BUllfSU5EVVNUUlkBAAAAF9s8AQMAAAAeSW50ZXJhY3RpdmUgTWVkaWEgYW5kIFNlcnZpY2VzAHgS5tia494IugII2Zrj3gghQ0lRLk1FVEEuSVFfUEVfRVhDTF9GV0RfQ0lRLjEwMDAwAQAAABfbPAEDAAAAAAB4EubYmuPeCLoCCNma494IGENJUS5NRVRBLklRX1BFR19GV0QuNjAwMAEAAAAX2zwBAgAAABEwLjk4MTM1OTQwMjAxMDA3OQENAAAABQAAAAE5AQAAAAkxMjY5MTAzMzcCAAAACTY1MjQyMjU0MgMAAAAGMTAwMzExBAAAAAEyBgAAAAEwBwAAAAMxNjAIAAAAATAJAAAAATEKAAAAATALAAAACzE0ODY4ODcyODQ1DAAAAAIxMg0AAAAJNy8xNy8yMDI2eBLm2Jrj3gi6</t>
  </si>
  <si>
    <t>AgjZmuPeCCBDSVEuTUVUQS5JUV9QRV9FWENMX0ZXRF9DSVEuNjAwMAEAAAAX2zwBAgAAABAyMC4zMjIzMjQxNTkwMjE0AQ0AAAAFAAAAATkBAAAACTEyNjkxMDMzNwIAAAAJNjUyNDIyNTQyAwAAAAYxMDAzMDkEAAAAATIGAAAAATAHAAAAAzE2MAgAAAABMAkAAAABMQoAAAABMAsAAAALMTQ4Njg4NzI4NDUMAAAAAjEyDQAAAAk3LzE3LzIwMjZ4EubYmuPeCLoCCNma494ILENJUVJBTkdFLk1FVEEuSVFfTkVXUy4xLjI1Li4uLi5ORVdTIEhFQURMSU5FAwAAABfbPAEZAAAAAAAAAAMAAAAAAAAABiJtZXRhIgRtZXRhAQAAAAkiSVFfTkVXUyIHSVFfTkVXUwIAAAABMQExAAAAAAMAAAAAAAAABiJtZXRhIgRtZXRhAQAAAAkiSVFfTkVXUyIHSVFfTkVXUwIAAAABMgEyAAAAAAMAAAAAAAAABiJtZXRhIgRtZXRhAQAAAAkiSVFfTkVXUyIHSVFfTkVXUwIAAAABMwEzAAAAAAMAAAAAAAAABiJtZXRhIgRtZXRhAQAAAAkiSVFfTkVXUyIHSVFfTkVXUwIAAAABNAE0AAAAAAMAAAAAAAAABiJtZXRhIgRtZXRhAQAAAAkiSVFfTkVXUyIHSVFfTkVXUwIAAAABNQE1AAAAAAMAAAAAAAAABiJtZXRhIgRtZXRhAQAAAAkiSVFfTkVXUyIHSVFfTkVXUwIAAAABNgE2AAAAAAMAAAAAAAAABiJtZXRhIgRtZXRhAQAAAAkiSVFfTkVXUyIHSVFfTkVXUwIAAAABNwE3AAAAAAMAAAAAAAAABiJtZXRhIgRtZXRhAQAAAAkiSVFfTkVX</t>
  </si>
  <si>
    <t>UyIHSVFfTkVXUwIAAAABOAE4AAAAAAMAAAAAAAAABiJtZXRhIgRtZXRhAQAAAAkiSVFfTkVXUyIHSVFfTkVXUwIAAAABOQE5AAAAAAMAAAAAAAAABiJtZXRhIgRtZXRhAQAAAAkiSVFfTkVXUyIHSVFfTkVXUwIAAAACMTACMTAAAAAAAwAAAAAAAAAGIm1ldGEiBG1ldGEBAAAACSJJUV9ORVdTIgdJUV9ORVdTAgAAAAIxMQIxMQAAAAADAAAAAAAAAAYibWV0YSIEbWV0YQEAAAAJIklRX05FV1MiB0lRX05FV1MCAAAAAjEyAjEyAAAAAAMAAAAAAAAABiJtZXRhIgRtZXRhAQAAAAkiSVFfTkVXUyIHSVFfTkVXUwIAAAACMTMCMTMAAAAAAwAAAAAAAAAGIm1ldGEiBG1ldGEBAAAACSJJUV9ORVdTIgdJUV9ORVdTAgAAAAIxNAIxNAAAAAADAAAAAAAAAAYibWV0YSIEbWV0YQEAAAAJIklRX05FV1MiB0lRX05FV1MCAAAAAjE1AjE1AAAAAAMAAAAAAAAABiJtZXRhIgRtZXRhAQAAAAkiSVFfTkVXUyIHSVFfTkVXUwIAAAACMTYCMTYAAAAAAwAAAAAAAAAGIm1ldGEiBG1ldGEBAAAACSJJUV9ORVdTIgdJUV9ORVdTAgAAAAIxNwIxNwAAAAADAAAAAAAAAAYibWV0YSIEbWV0YQEAAAAJIklRX05FV1MiB0lRX05FV1MCAAAAAjE4AjE4AAAAAAMAAAAAAAAABiJtZXRhIgRtZXRhAQAAAAkiSVFfTkVXUyIHSVFfTkVXUwIAAAACMTkCMTkAAAAAAwAAAAAAAAAGIm1ldGEiBG1ldGEBAAAACSJJUV9ORVdTIgdJUV9ORVdTAgAA</t>
  </si>
  <si>
    <t>AAIyMAIyMAAAAAADAAAAAAAAAAYibWV0YSIEbWV0YQEAAAAJIklRX05FV1MiB0lRX05FV1MCAAAAAjIxAjIxAAAAAAMAAAAAAAAABiJtZXRhIgRtZXRhAQAAAAkiSVFfTkVXUyIHSVFfTkVXUwIAAAACMjICMjIAAAAAAwAAAAAAAAAGIm1ldGEiBG1ldGEBAAAACSJJUV9ORVdTIgdJUV9ORVdTAgAAAAIyMwIyMwAAAAADAAAAAAAAAAYibWV0YSIEbWV0YQEAAAAJIklRX05FV1MiB0lRX05FV1MCAAAAAjI0AjI0AAAAAAMAAAAAAAAABiJtZXRhIgRtZXRhAQAAAAkiSVFfTkVXUyIHSVFfTkVXUwIAAAACMjUCMjV4EubYmuPeCHgS5tia494IEkNJUS5tZXRhLklRX05FV1MuMQEAAAAX2zwBAwAAAD9EZWVwU2VlayBleWVzIDUwQiB5dWFuIGZ1bmRpbmc7IENoYW5nWGluIE1lbW9yeSBwbGFucyAkOC41QiBJUE8BAwAAAAUAAAACMTcBAAAACTMyMjczNTkyMQIAAAAENzc3MYpN5tia494IhzcI2Zrj3ggSQ0lRLm1ldGEuSVFfTkVXUy4yAQAAABfbPAEDAAAAOEVudGVyZ3ksIE1ISSBHcm91cCB0byBwYXJ0bmVyIG9uIGNhcmJvbiBjYXB0dXJlIHByb2plY3RzAQMAAAAFAAAAAjE3AQAAAAkzMjI3MzU4OTACAAAABDc3NzGKTebYmuPeCIc3CNma494IEkNJUS5tZXRhLklRX05FV1MuMwEAAAAX2zwBAwAAAFBMaW9uc2dhdGUgZXhwbG9yZXMgc2FsZSBhbWlkIHRha2VvdmVyIGludGVyZXN0OyBJQk0gc3RvY2sgZGl2</t>
  </si>
  <si>
    <t>ZXMgYWZ0ZXIgUTIgd2FybmluZwEDAAAABQAAAAIxNwEAAAAJMzIyNzM1ODQ1AgAAAAQ3Nzcxik3m2Jrj3giHNwjZmuPeCBJDSVEubWV0YS5JUV9ORVdTLjQBAAAAF9s8AQMAAABPUmVuZXdhYmxlcyByZW1haW4gbW9zdCBjb3N0LWNvbXBldGl0aXZlOyBOZXcgSmVyc2V5IHNlZWtzIDEuMSBHVyBvZiBuZXcgbnVjbGVhcgEDAAAABQAAAAIxNwEAAAAJMzIyNzM1NzQ4AgAAAAQ3Nzcxik3m2Jrj3gjWXgjZmuPeCBJDSVEubWV0YS5JUV9ORVdTLjUBAAAAF9s8AQMAAABIRVUgcGxlZGdlcyBzb2NpYWwgbWVkaWEgYmFuIGZvciBjaGlsZHJlbjsgSW50ZWwgaW52ZXN0cyDigqw1QiBpbiBJcmVsYW5kAQMAAAAFAAAAAjE3AQAAAAkzMjI3MzU3MzACAAAABDc3NzGKTebYmuPeCIc3CNma494IEkNJUS5tZXRhLklRX05FV1MuNgEAAAAX2zwBAwAAAE9Nb3JnYW4gU3RhbmxleSwgQ2l0aWdyb3VwIGxlYWQgbWVkaWEsIHRlbGVjb20gZGVidCB1bmRlcndyaXRlcnMgdGhyb3VnaCBRMiAyMDI2AQMAAAAFAAAAAjE3AQAAAAkzMjI3MzU2NjUCAAAABDc3NzGKTebYmuPeCIc3CNma494IEkNJUS5tZXRhLklRX05FV1MuNwEAAAAX2zwBAwAAAFBFVSBmaW5kcyBNZXRhIGluIGJyZWFjaCBvZiBkaWdpdGFsIHJ1bGVzOyBYYXZpZXIgTmllbCB0byBidXkgZSYncyBWb2RhZm9uZSBzdGFrZQEDAAAABQAAAAIxNwEAAAAJMzIy</t>
  </si>
  <si>
    <t>NzM1NjIyAgAAAAQ3Nzcxik3m2Jrj3giHNwjZmuPeCBJDSVEubWV0YS5JUV9ORVdTLjgBAAAAF9s8AQMAAABPRnJvbSBGb3J0bml0ZSB0byBzbWFydCBmcmFtZXM6IEdhbWluZyBncm93dGgsIGhhcmR3YXJlIGluZmxhdGlvbiwgQVIgaW5ub3ZhdGlvbgEDAAAABQAAAAIxNwEAAAAJMzIyNzM1NTg1AgAAAAQ3Nzcxik3m2Jrj3giHNwjZmuPeCBJDSVEubWV0YS5JUV9ORVdTLjkBAAAAF9s8AQMAAABMRVUgYWNjZXB0cyBTQVAgY29tbWl0bWVudHM7IEJhbmlqYXkgRW50ZXJ0YWlubWVudCwgQWxsM01lZGlhIGNvbXBsZXRlIG1lcmdlcgEDAAAABQAAAAIxNwEAAAAJMzIyNzM1NTM2AgAAAAQ3Nzcxik3m2Jrj3giHNwjZmuPeCBNDSVEubWV0YS5JUV9ORVdTLjEwAQAAABfbPAEDAAAASU1pY3JvbiBib29zdHMgVVMgaW52ZXN0bWVudHMgdG8gJDI1MEI7IE1ldGEgc2V0cyBBSSBjaGlwIHByb2R1Y3Rpb24gc3RhcnQBAwAAAAUAAAACMTcBAAAACTMyMjczNTUxOAIAAAAENzc3MYpN5tia494IhzcI2Zrj3ggTQ0lRLm1ldGEuSVFfTkVXUy4xMQEAAAAX2zwBAwAAAE9QTSBFZGl0aW9uOiBGcmVlcG9ydCBzZWVrcyB0byBib29zdCBvdXRwdXQgcmF0ZTsgQWxwaXEgYnV5cyBpbnRvIEhhcm1vbnkgRW5lcmd5AQMAAAAFAAAAAjE3AQAAAAkzMjI3MzU1MTICAAAABDc3NzGKTebYmuPeCNZeCNma494IE0NJUS5tZXRh</t>
  </si>
  <si>
    <t>LklRX05FV1MuMTIBAAAAF9s8AQMAAAA7TWljcm9zb2Z0IHNsYXNoZXMgNCw4MDAgam9iczsgTWV0YSBuYW1lcyBjaGllZiBkYXRhIG9mZmljZXIBAwAAAAUAAAACMTcBAAAACTMyMjczNTUwMgIAAAAENzc3MYpN5tia494I1l4I2Zrj3ggTQ0lRLm1ldGEuSVFfTkVXUy4xMwEAAAAX2zwBAwAAADhBSSBzdG9jayByYWxseSBzdGFnZ2VycyBhcyBpbnZlc3RvcnMgdHVybiBtb3JlIHNlbGVjdGl2ZQEDAAAABQAAAAIxNwEAAAAJMzIyNzM1NDk2AgAAAAQ3Nzcxik3m2Jrj3giHNwjZmuPeCBNDSVEubWV0YS5JUV9ORVdTLjE0AQAAABfbPAEDAAAAT01ldGEgYnJlYWtzIGdyb3VuZCBvbiBnYXMtcG93ZXJlZCBkYXRhIGNlbnRlcjsgRE9FIGxvYW5zIEFFUCBUZXhhcyB1cCB0byAkMy4yNkIBAwAAAAUAAAACMTcBAAAACTMyMjczNTQ4NQIAAAAENzc3MYpN5tia494IhzcI2Zrj3ggTQ0lRLm1ldGEuSVFfTkVXUy4xNQEAAAAX2zwBAwAAAFBNZXRhIHBsYW5zIEMkMTNCIENhbmFkYSBkYXRhIGNlbnRlcjsgU3BhY2VYIHNlZWtzIEZDQyBub2QgZm9yIDEwMCwwMDAgc2F0ZWxsaXRlcwEDAAAABQAAAAIxNwEAAAAJMzIyNzM1NDg0AgAAAAQ3Nzcxik3m2Jrj3gjWXgjZmuPeCBNDSVEubWV0YS5JUV9ORVdTLjE2AQAAABfbPAEDAAAAT1NvZnRCYW5rIGxhdW5jaGVzIFVTIEFJIGNvbXB1dGUgZmlybTsgQWxpYmFiYSwg</t>
  </si>
  <si>
    <t>QVVTIE1lcmNoYW50IHNldHRsZSBVUyBET0ogcHJvYmUBAwAAAAUAAAACMTcBAAAACTMyMjczNTQ3MwIAAAAENzc3MYpN5tia494IhzcI2Zrj3ggTQ0lRLm1ldGEuSVFfTkVXUy4xNwEAAAAX2zwBAwAAAEFNZXRhIGJyZWFrcyBncm91bmQgb24gQyQxM0IgZ2FzLXBvd2VyZWQgQUkgZGF0YSBjZW50ZXIgaW4gQWxiZXJ0YQEDAAAABQAAAAIxNwEAAAAJMzIyNzM1NDYzAgAAAAQ3Nzcxik3m2Jrj3giHNwjZmuPeCBNDSVEubWV0YS5JUV9ORVdTLjE4AQAAABfbPAEDAAAASkFwcGxlIGxvc2VzIEVVIHRlY2ggcnVsZXMgYXBwZWFsOyBWaXJnaW4gTWVkaWEgZmluZWQgwqMyOE0gYnkgVUsgcmVndWxhdG9yAQMAAAAFAAAAAjE3AQAAAAkzMjI3MzU0NTcCAAAABDc3NzGKTebYmuPeCIc3CNma494IE0NJUS5tZXRhLklRX05FV1MuMTkBAAAAF9s8AQMAAABOR2VuQUkgZnVuZGluZyBmYWxscyBpbiBRMiAyMDI2IGFzIGxhcmdlIHBsYXllcnMgc3RhcnQgbW92aW5nIHRvIHB1YmxpYyBtYXJrZXRzAQMAAAAFAAAAAjE3AQAAAAkzMjI3MzUzOTUCAAAABDc3NzGKTebYmuPeCIc3CNma494IE0NJUS5tZXRhLklRX05FV1MuMjABAAAAF9s8AQMAAABPQXBwbGUgY29tbWl0cyAkMzBCIHRvIEJyb2FkY29tIGRlYWw7IE5ldGZsaXgsIERpc25leSwgWW91VHViZSBleWUgV29ybGQgQ3VwIGJpZAEDAAAABQAAAAIxNwEAAAAJ</t>
  </si>
  <si>
    <t>MzIyNzM1MzkzAgAAAAQ3Nzcxik3m2Jrj3gjWXgjZmuPeCBNDSVEubWV0YS5JUV9ORVdTLjIxAQAAABfbPAEDAAAAO0FkYXB0dXJlIFJlbmV3YWJsZXMgc3RhcnRzIHVwIDE4NS1NVyBzb2xhciBmYXJtIGluIEFya2Fuc2FzAQMAAAAFAAAAAjE3AQAAAAkzMjI3MzUzMzcCAAAABDc3NzGKTebYmuPeCNZeCNma494IE0NJUS5tZXRhLklRX05FV1MuMjIBAAAAF9s8AQMAAABPR29vZ2xlIGludmVzdHMgaW4gbnVjbGVhciBmdXNpb24gc3RhcnR1cDsgZGF0YSBjZW50ZXIgY29tcGFueSBDc3F1YXJlIHBsYW5zIElQTwEDAAAABQAAAAIxNwEAAAAJMzIyNzM1MzA5AgAAAAQ3Nzcxik3m2Jrj3gjWXgjZmuPeCBNDSVEubWV0YS5JUV9ORVdTLjIzAQAAABfbPAEDAAAATENvbWNhc3QncyBTa3kgdG8gYWNxdWlyZSBJVFYgdW5pdDsgRGVubWFyayBpbnRlcnZlbmVzIGluIEVVIHB1Ymxpc2hlcnMnIGNhc2UBAwAAAAUAAAACMTcBAAAACTMyMjczNTI5MAIAAAAENzc3MYpN5tia494I1l4I2Zrj3ggTQ0lRLm1ldGEuSVFfTkVXUy4yNAEAAAAX2zwBAwAAAFBNZWdhLWNhcCB0ZWNoIHN0b2NrcyBsZWFkIFMmUCA1MDAgbG9zc2VzIGluIEp1bmU7IFpvb20gYWdyZWVzIHRvIGFjcXVpcmUgQUkgZmlybQEDAAAABQAAAAIxNwEAAAAJMzIyNzM1MTM1AgAAAAQ3Nzcxik3m2Jrj3gjWXgjZmuPeCBNDSVEubWV0YS5JUV9ORVdT</t>
  </si>
  <si>
    <t>LjI1AQAAABfbPAEDAAAARUFwcGxlIHBsYW5zIDUgbmV3IGlQaG9uZSBtb2RlbHM7IFNvZnRCYW5rIGZvcm1pbmcgVVMgbmVvY2xvdWQgY29tcGFueQEDAAAABQAAAAIxNwEAAAAJMzIyNzM1MDg1AgAAAAQ3Nzcxik3m2Jrj3gjWXgjZmuPeCCdDSVFSQU5HRS5NRVRBLklRX05FV1MuMS4yNS4uLi4uTkVXUyBVUkwDAAAAF9s8ARkAAAAAAAAAAwAAAAAAAAAGIm1ldGEiBG1ldGEBAAAACSJJUV9ORVdTIgdJUV9ORVdTAgAAAAExATEAAAAAAwAAAAAAAAAGIm1ldGEiBG1ldGEBAAAACSJJUV9ORVdTIgdJUV9ORVdTAgAAAAEyATIAAAAAAwAAAAAAAAAGIm1ldGEiBG1ldGEBAAAACSJJUV9ORVdTIgdJUV9ORVdTAgAAAAEzATMAAAAAAwAAAAAAAAAGIm1ldGEiBG1ldGEBAAAACSJJUV9ORVdTIgdJUV9ORVdTAgAAAAE0ATQAAAAAAwAAAAAAAAAGIm1ldGEiBG1ldGEBAAAACSJJUV9ORVdTIgdJUV9ORVdTAgAAAAE1ATUAAAAAAwAAAAAAAAAGIm1ldGEiBG1ldGEBAAAACSJJUV9ORVdTIgdJUV9ORVdTAgAAAAE2ATYAAAAAAwAAAAAAAAAGIm1ldGEiBG1ldGEBAAAACSJJUV9ORVdTIgdJUV9ORVdTAgAAAAE3ATcAAAAAAwAAAAAAAAAGIm1ldGEiBG1ldGEBAAAACSJJUV9ORVdTIgdJUV9ORVdTAgAAAAE4ATgAAAAAAwAAAAAAAAAGIm1ldGEiBG1ldGEBAAAACSJJUV9ORVdTIgdJUV9ORVdTAgAAAAE5ATkAAAAAAwAA</t>
  </si>
  <si>
    <t>AAAAAAAGIm1ldGEiBG1ldGEBAAAACSJJUV9ORVdTIgdJUV9ORVdTAgAAAAIxMAIxMAAAAAADAAAAAAAAAAYibWV0YSIEbWV0YQEAAAAJIklRX05FV1MiB0lRX05FV1MCAAAAAjExAjExAAAAAAMAAAAAAAAABiJtZXRhIgRtZXRhAQAAAAkiSVFfTkVXUyIHSVFfTkVXUwIAAAACMTICMTIAAAAAAwAAAAAAAAAGIm1ldGEiBG1ldGEBAAAACSJJUV9ORVdTIgdJUV9ORVdTAgAAAAIxMwIxMwAAAAADAAAAAAAAAAYibWV0YSIEbWV0YQEAAAAJIklRX05FV1MiB0lRX05FV1MCAAAAAjE0AjE0AAAAAAMAAAAAAAAABiJtZXRhIgRtZXRhAQAAAAkiSVFfTkVXUyIHSVFfTkVXUwIAAAACMTUCMTUAAAAAAwAAAAAAAAAGIm1ldGEiBG1ldGEBAAAACSJJUV9ORVdTIgdJUV9ORVdTAgAAAAIxNgIxNgAAAAADAAAAAAAAAAYibWV0YSIEbWV0YQEAAAAJIklRX05FV1MiB0lRX05FV1MCAAAAAjE3AjE3AAAAAAMAAAAAAAAABiJtZXRhIgRtZXRhAQAAAAkiSVFfTkVXUyIHSVFfTkVXUwIAAAACMTgCMTgAAAAAAwAAAAAAAAAGIm1ldGEiBG1ldGEBAAAACSJJUV9ORVdTIgdJUV9ORVdTAgAAAAIxOQIxOQAAAAADAAAAAAAAAAYibWV0YSIEbWV0YQEAAAAJIklRX05FV1MiB0lRX05FV1MCAAAAAjIwAjIwAAAAAAMAAAAAAAAABiJtZXRhIgRtZXRhAQAAAAkiSVFfTkVXUyIHSVFfTkVXUwIAAAACMjECMjEAAAAAAwAAAAAAAAAGIm1l</t>
  </si>
  <si>
    <t>dGEiBG1ldGEBAAAACSJJUV9ORVdTIgdJUV9ORVdTAgAAAAIyMgIyMgAAAAADAAAAAAAAAAYibWV0YSIEbWV0YQEAAAAJIklRX05FV1MiB0lRX05FV1MCAAAAAjIzAjIzAAAAAAMAAAAAAAAABiJtZXRhIgRtZXRhAQAAAAkiSVFfTkVXUyIHSVFfTkVXUwIAAAACMjQCMjQAAAAAAwAAAAAAAAAGIm1ldGEiBG1ldGEBAAAACSJJUV9ORVdTIgdJUV9ORVdTAgAAAAIyNQIyNYpN5tia494Iik3m2Jrj3ggoQ0lRUkFOR0UuTUVUQS5JUV9ORVdTLjEuMjUuLi4uLk5FV1MgREFURQMAAAAX2zwBGQAAAAAAAAADAAAAAAAAAAYibWV0YSIEbWV0YQEAAAAJIklRX05FV1MiB0lRX05FV1MCAAAAATEBMQAAAAADAAAAAAAAAAYibWV0YSIEbWV0YQEAAAAJIklRX05FV1MiB0lRX05FV1MCAAAAATIBMgAAAAADAAAAAAAAAAYibWV0YSIEbWV0YQEAAAAJIklRX05FV1MiB0lRX05FV1MCAAAAATMBMwAAAAADAAAAAAAAAAYibWV0YSIEbWV0YQEAAAAJIklRX05FV1MiB0lRX05FV1MCAAAAATQBNAAAAAADAAAAAAAAAAYibWV0YSIEbWV0YQEAAAAJIklRX05FV1MiB0lRX05FV1MCAAAAATUBNQAAAAADAAAAAAAAAAYibWV0YSIEbWV0YQEAAAAJIklRX05FV1MiB0lRX05FV1MCAAAAATYBNgAAAAADAAAAAAAAAAYibWV0YSIEbWV0YQEAAAAJIklRX05FV1MiB0lRX05FV1MCAAAAATcBNwAAAAADAAAAAAAAAAYibWV0YSIEbWV0YQEA</t>
  </si>
  <si>
    <t>AAAJIklRX05FV1MiB0lRX05FV1MCAAAAATgBOAAAAAADAAAAAAAAAAYibWV0YSIEbWV0YQEAAAAJIklRX05FV1MiB0lRX05FV1MCAAAAATkBOQAAAAADAAAAAAAAAAYibWV0YSIEbWV0YQEAAAAJIklRX05FV1MiB0lRX05FV1MCAAAAAjEwAjEwAAAAAAMAAAAAAAAABiJtZXRhIgRtZXRhAQAAAAkiSVFfTkVXUyIHSVFfTkVXUwIAAAACMTECMTEAAAAAAwAAAAAAAAAGIm1ldGEiBG1ldGEBAAAACSJJUV9ORVdTIgdJUV9ORVdTAgAAAAIxMgIxMgAAAAADAAAAAAAAAAYibWV0YSIEbWV0YQEAAAAJIklRX05FV1MiB0lRX05FV1MCAAAAAjEzAjEzAAAAAAMAAAAAAAAABiJtZXRhIgRtZXRhAQAAAAkiSVFfTkVXUyIHSVFfTkVXUwIAAAACMTQCMTQAAAAAAwAAAAAAAAAGIm1ldGEiBG1ldGEBAAAACSJJUV9ORVdTIgdJUV9ORVdTAgAAAAIxNQIxNQAAAAADAAAAAAAAAAYibWV0YSIEbWV0YQEAAAAJIklRX05FV1MiB0lRX05FV1MCAAAAAjE2AjE2AAAAAAMAAAAAAAAABiJtZXRhIgRtZXRhAQAAAAkiSVFfTkVXUyIHSVFfTkVXUwIAAAACMTcCMTcAAAAAAwAAAAAAAAAGIm1ldGEiBG1ldGEBAAAACSJJUV9ORVdTIgdJUV9ORVdTAgAAAAIxOAIxOAAAAAADAAAAAAAAAAYibWV0YSIEbWV0YQEAAAAJIklRX05FV1MiB0lRX05FV1MCAAAAAjE5AjE5AAAAAAMAAAAAAAAABiJtZXRhIgRtZXRhAQAAAAkiSVFfTkVXUyIH</t>
  </si>
  <si>
    <t>SVFfTkVXUwIAAAACMjACMjAAAAAAAwAAAAAAAAAGIm1ldGEiBG1ldGEBAAAACSJJUV9ORVdTIgdJUV9ORVdTAgAAAAIyMQIyMQAAAAADAAAAAAAAAAYibWV0YSIEbWV0YQEAAAAJIklRX05FV1MiB0lRX05FV1MCAAAAAjIyAjIyAAAAAAMAAAAAAAAABiJtZXRhIgRtZXRhAQAAAAkiSVFfTkVXUyIHSVFfTkVXUwIAAAACMjMCMjMAAAAAAwAAAAAAAAAGIm1ldGEiBG1ldGEBAAAACSJJUV9ORVdTIgdJUV9ORVdTAgAAAAIyNAIyNAAAAAADAAAAAAAAAAYibWV0YSIEbWV0YQEAAAAJIklRX05FV1MiB0lRX05FV1MCAAAAAjI1AjI1ik3m2Jrj3giKTebYmuPeCCpDSVFSQU5HRS5NRVRBLklRX05FV1MuMS4yNS4uLi4uTkVXUyBTT1VSQ0UDAAAAF9s8ARkAAAAAAAAAAwAAAAAAAAAGIm1ldGEiBG1ldGEBAAAACSJJUV9ORVdTIgdJUV9ORVdTAgAAAAExATEAAAAAAwAAAAAAAAAGIm1ldGEiBG1ldGEBAAAACSJJUV9ORVdTIgdJUV9ORVdTAgAAAAEyATIAAAAAAwAAAAAAAAAGIm1ldGEiBG1ldGEBAAAACSJJUV9ORVdTIgdJUV9ORVdTAgAAAAEzATMAAAAAAwAAAAAAAAAGIm1ldGEiBG1ldGEBAAAACSJJUV9ORVdTIgdJUV9ORVdTAgAAAAE0ATQAAAAAAwAAAAAAAAAGIm1ldGEiBG1ldGEBAAAACSJJUV9ORVdTIgdJUV9ORVdTAgAAAAE1ATUAAAAAAwAAAAAAAAAGIm1ldGEiBG1ldGEBAAAACSJJUV9ORVdTIgdJUV9O</t>
  </si>
  <si>
    <t>RVdTAgAAAAE2ATYAAAAAAwAAAAAAAAAGIm1ldGEiBG1ldGEBAAAACSJJUV9ORVdTIgdJUV9ORVdTAgAAAAE3ATcAAAAAAwAAAAAAAAAGIm1ldGEiBG1ldGEBAAAACSJJUV9ORVdTIgdJUV9ORVdTAgAAAAE4ATgAAAAAAwAAAAAAAAAGIm1ldGEiBG1ldGEBAAAACSJJUV9ORVdTIgdJUV9ORVdTAgAAAAE5ATkAAAAAAwAAAAAAAAAGIm1ldGEiBG1ldGEBAAAACSJJUV9ORVdTIgdJUV9ORVdTAgAAAAIxMAIxMAAAAAADAAAAAAAAAAYibWV0YSIEbWV0YQEAAAAJIklRX05FV1MiB0lRX05FV1MCAAAAAjExAjExAAAAAAMAAAAAAAAABiJtZXRhIgRtZXRhAQAAAAkiSVFfTkVXUyIHSVFfTkVXUwIAAAACMTICMTIAAAAAAwAAAAAAAAAGIm1ldGEiBG1ldGEBAAAACSJJUV9ORVdTIgdJUV9ORVdTAgAAAAIxMwIxMwAAAAADAAAAAAAAAAYibWV0YSIEbWV0YQEAAAAJIklRX05FV1MiB0lRX05FV1MCAAAAAjE0AjE0AAAAAAMAAAAAAAAABiJtZXRhIgRtZXRhAQAAAAkiSVFfTkVXUyIHSVFfTkVXUwIAAAACMTUCMTUAAAAAAwAAAAAAAAAGIm1ldGEiBG1ldGEBAAAACSJJUV9ORVdTIgdJUV9ORVdTAgAAAAIxNgIxNgAAAAADAAAAAAAAAAYibWV0YSIEbWV0YQEAAAAJIklRX05FV1MiB0lRX05FV1MCAAAAAjE3AjE3AAAAAAMAAAAAAAAABiJtZXRhIgRtZXRhAQAAAAkiSVFfTkVXUyIHSVFfTkVXUwIAAAACMTgCMTgAAAAA</t>
  </si>
  <si>
    <t>AwAAAAAAAAAGIm1ldGEiBG1ldGEBAAAACSJJUV9ORVdTIgdJUV9ORVdTAgAAAAIxOQIxOQAAAAADAAAAAAAAAAYibWV0YSIEbWV0YQEAAAAJIklRX05FV1MiB0lRX05FV1MCAAAAAjIwAjIwAAAAAAMAAAAAAAAABiJtZXRhIgRtZXRhAQAAAAkiSVFfTkVXUyIHSVFfTkVXUwIAAAACMjECMjEAAAAAAwAAAAAAAAAGIm1ldGEiBG1ldGEBAAAACSJJUV9ORVdTIgdJUV9ORVdTAgAAAAIyMgIyMgAAAAADAAAAAAAAAAYibWV0YSIEbWV0YQEAAAAJIklRX05FV1MiB0lRX05FV1MCAAAAAjIzAjIzAAAAAAMAAAAAAAAABiJtZXRhIgRtZXRhAQAAAAkiSVFfTkVXUyIHSVFfTkVXUwIAAAACMjQCMjQAAAAAAwAAAAAAAAAGIm1ldGEiBG1ldGEBAAAACSJJUV9ORVdTIgdJUV9ORVdTAgAAAAIyNQIyNYpN5tia494Iik3m2Jrj3ggeQ0lRLk1FVEEuSVFfRklMSU5HX0NVUlJFTkNZX0NTAQAAABfbPAEDAAAAA1VTRACKTebYmuPeCLoCCNma494IHENJUS5NRVRBLklRX0NBU0hfT1BFUl9DUy45OTcBAAAAF9s8AQIAAAAFNTA0NzUBCQAAAAUAAAACMTkBAAAACDI2MzIzMTU3AgAAAAUzMjgyNAkAAAACLTEDAAAAAzE2MAYAAAAIMi8yLzIwMjMHAAAACTcvMTYvMjAyNggAAAABMAQAAAABMIpN5tia494ITtsH2Zrj3ggcQ0lRLk1FVEEuSVFfQ0FTSF9PUEVSX0NTLjk5OAEAAAAX2zwBAgAAAAU3MTExMwEJAAAABQAAAAIxOQEA</t>
  </si>
  <si>
    <t>AAAIMjczOTIzNzUCAAAABTMyODI0CQAAAAItMQMAAAADMTYwBgAAAAgyLzIvMjAyNAcAAAAJNy8xNi8yMDI2CAAAAAEwBAAAAAEwik3m2Jrj3ghO2wfZmuPeCBxDSVEuTUVUQS5JUV9DQVNIX09QRVJfQ1MuOTk5AQAAABfbPAECAAAABTkxMzI4AQkAAAAFAAAAAjE5AQAAAAgyODQ0ODI2MQIAAAAFMzI4MjQJAAAAAi0xAwAAAAMxNjAGAAAACTEvMzAvMjAyNQcAAAAJNy8xNi8yMDI2CAAAAAEwBAAAAAEwik3m2Jrj3ghO2wfZmuPeCB1DSVEuTUVUQS5JUV9DQVNIX09QRVJfQ1MuMTAwMAEAAAAX2zwBAgAAAAYxMTU4MDABCQAAAAUAAAACMTkBAAAACDI5NDQ0MzE1AgAAAAUzMjgyNAkAAAACLTEDAAAAAzE2MAYAAAAJMS8yOS8yMDI2BwAAAAk3LzE2LzIwMjYIAAAAATAEAAAAATCKTebYmuPeCE7bB9ma494IHENJUS5NRVRBLklRX0NBU0hfT1BFUl9DUy45OTYBAAAAF9s8AQIAAAAFNTc2ODMBCQAAAAUAAAACMTkBAAAACDI1MjQxMzkyAgAAAAUzMjgyNAkAAAACLTEDAAAAAzE2MAYAAAAIMi8zLzIwMjIHAAAACTcvMTYvMjAyNggAAAABMAQAAAABMIpN5tia494ITtsH2Zrj3ggdQ0lRLk1FVEEuSVFfQ0FTSF9PUEVSX0NTLjIwMDABAAAAF9s8AQIAAAAGMTI0MDAwAQkAAAAFAAAAAjE5AQAAAAgyOTcyMzAzNgIAAAAFMzI4MjQJAAAAAi0xAwAAAAMxNjAGAAAACTQvMzAvMjAyNgcAAAAJNy8xNi8yMDI2CAAA</t>
  </si>
  <si>
    <t>AAEwBAAAAAEwik3m2Jrj3ghO2wfZmuPeCDNDSVEuTUVUQS5JUV9UT1RBTF9PVVRTVEFORElOR19CU19EQVRFX0NTLi4xNy1KVUwtMjYBAAAAF9s8AQIAAAAEMjUzOAEJAAAABQAAAAIxOQEAAAAIMjk3MjMwMzYCAAAABTMyNjYyCQAAAAItMQMAAAABMAYAAAAINS80LzIwMjYHAAAACTcvMTcvMjAyNggAAAABMAQAAAABMIpN5tia494IVEkK3Jrj3ggaQ0lRLk1FVEEuSVFfVEJWX1NIQVJFLjUwMDABAAAAF9s8AQIAAAAJODYuMjYyMDE3AQgAAAAFAAAAATEBAAAACy0xODkyNDU5MDY3AwAAAAMxNjACAAAABDQxNTYEAAAAATAHAAAACTcvMTYvMjAyNggAAAAJMy8zMS8yMDI2CQAAAAEwik3m2Jrj3gi6AgjZmuPeCCJDSVEuTUVUQS5JUV9UT1RBTF9ERUJUX0VRVUlUWS41MDAwAQAAABfbPAECAAAABzM1LjYwNzYBCAAAAAUAAAABMQEAAAALLTE4OTI0NTkwNjcDAAAAAzE2MAIAAAAENDAzNAQAAAABMAcAAAAJNy8xNi8yMDI2CAAAAAkzLzMxLzIwMjYJAAAAATCKTebYmuPeCLoCCNma494IJUNJUS5NRVRBLklRX1NIT1JUX0lOVEVSRVNUX09WRVJfRkxPQVQBAAAAF9s8AQIAAAAGMS41NzI5AIpN5tia494IugII2Zrj3ggfQ0lRLk1FVEEuSVFfQ1VSUkVOVF9SQVRJTy4xMDAwMAEAAAAX2zwBAgAAAAgyLjU5ODc2NgEIAAAABQAAAAExAQAAAAstMTkwODUxMTUwMAMAAAADMTYwAgAAAAQ0MDMwBAAAAAEwBwAA</t>
  </si>
  <si>
    <t>AAk3LzE2LzIwMjYIAAAACjEyLzMxLzIwMjUJAAAAATCKTebYmuPeCLoCCNma494IHUNJUS5NRVRBLklRX1FVSUNLX1JBVElPLjEwMDAwAQAAABfbPAECAAAACDIuNDIyODE3AQgAAAAFAAAAATEBAAAACy0xOTA4NTExNTAwAwAAAAMxNjACAAAABDQxMjEEAAAAATAHAAAACTcvMTYvMjAyNggAAAAKMTIvMzEvMjAyNQkAAAABMIpN5tia494IugII2Zrj3ggZQ0lRLk1FVEEuSVFfRUJJVF9JTlQuMjAwMAEAAAAX2zwBAgAAAAk1OS41NzgzNDUBCAAAAAUAAAABMQEAAAALLTE4OTI0NTY3NTUDAAAAAzE2MAIAAAAENDE4OQQAAAABMAcAAAAJNy8xNi8yMDI2CAAAAAkzLzMxLzIwMjYJAAAAATCKTebYmuPeCLoCCNma494IGUNJUS5NRVRBLklRX0dXX0lOVEFOLjUwMDABAAAAF9s8AQIAAAAFMjQ3NDgBCAAAAAUAAAABMQEAAAALLTE4OTI0NTkwNjcDAAAAAzE2MAIAAAAFMzUzODEEAAAAATAHAAAACTcvMTYvMjAyNggAAAAJMy8zMS8yMDI2CQAAAAEwik3m2Jrj3gi6AgjZmuPeCBlDSVEuTUVUQS5JUV9UT1RBTF9SRVYuOTk4AQAAABfbPAECAAAABjEzNDkwMgEIAAAABQAAAAExAQAAAAstMTkwODUxMzM1MgMAAAADMTYwAgAAAAIyOAQAAAABMAcAAAAJNy8xNi8yMDI2CAAAAAoxMi8zMS8yMDIzCQAAAAEwik3m2Jrj3ghO2wfZmuPeCBlDSVEuTUVUQS5JUV9UT1RBTF9SRVYuOTk5AQAAABfbPAECAAAABjE2NDUw</t>
  </si>
  <si>
    <t>MQEIAAAABQAAAAExAQAAAAstMTkwODUxMzM0NQMAAAADMTYwAgAAAAIyOAQAAAABMAcAAAAJNy8xNi8yMDI2CAAAAAoxMi8zMS8yMDI0CQAAAAEwik3m2Jrj3gi6AgjZmuPeCBpDSVEuTUVUQS5JUV9UT1RBTF9SRVYuMTAwMAEAAAAX2zwBAgAAAAYyMDA5NjYBCAAAAAUAAAABMQEAAAALLTE5MDg1MTMzNTMDAAAAAzE2MAIAAAACMjgEAAAAATAHAAAACTcvMTYvMjAyNggAAAAKMTIvMzEvMjAyNQkAAAABMIpN5tia494IugII2Zrj3ggSQ0lRLk1FVEEuSVFfR1AuOTk3AQAAABfbPAECAAAABTkyODU1AQgAAAAFAAAAATEBAAAACy0xOTYxNDkxNzMyAwAAAAMxNjACAAAAAjEwBAAAAAEwBwAAAAk3LzE2LzIwMjYIAAAACjEyLzMxLzIwMjIJAAAAATCKTebYmuPeCLoCCNma494IEkNJUS5NRVRBLklRX0dQLjk5OAEAAAAX2zwBAgAAAAYxMDg5NDMBCAAAAAUAAAABMQEAAAALLTE5MDg1MTMzNTIDAAAAAzE2MAIAAAACMTAEAAAAATAHAAAACTcvMTYvMjAyNggAAAAKMTIvMzEvMjAyMwkAAAABMIpN5tia494IugII2Zrj3ggSQ0lRLk1FVEEuSVFfR1AuOTk5AQAAABfbPAECAAAABjEzNDM0MAEIAAAABQAAAAExAQAAAAstMTkwODUxMzM0NQMAAAADMTYwAgAAAAIxMAQAAAABMAcAAAAJNy8xNi8yMDI2CAAAAAoxMi8zMS8yMDI0CQAAAAEwik3m2Jrj3ghO2wfZmuPeCBlDSVEuTUVUQS5JUV9UT1RBTF9SRVYuOTk2</t>
  </si>
  <si>
    <t>AQAAABfbPAECAAAABjExNzkyOQEIAAAABQAAAAExAQAAAAstMjAxMTg0MzgwNAMAAAADMTYwAgAAAAIyOAQAAAABMAcAAAAJNy8xNi8yMDI2CAAAAAoxMi8zMS8yMDIxCQAAAAEwik3m2Jrj3ghO2wfZmuPeCBlDSVEuTUVUQS5JUV9UT1RBTF9SRVYuOTk3AQAAABfbPAECAAAABjExNjYwOQEIAAAABQAAAAExAQAAAAstMTk2MTQ5MTczMgMAAAADMTYwAgAAAAIyOAQAAAABMAcAAAAJNy8xNi8yMDI2CAAAAAoxMi8zMS8yMDIyCQAAAAEwik3m2Jrj3ghO2wfZmuPeCBhDSVEuTUVUQS5JUV9PUEVSX0lOQy45OTYBAAAAF9s8AQIAAAAFNDY3NTMBCAAAAAUAAAABMQEAAAALLTIwMTE4NDM4MDQDAAAAAzE2MAIAAAACMjEEAAAAATAHAAAACTcvMTYvMjAyNggAAAAKMTIvMzEvMjAyMQkAAAABMIpN5tia494ITtsH2Zrj3ggYQ0lRLk1FVEEuSVFfT1BFUl9JTkMuOTk3AQAAABfbPAECAAAABTMzNTU1AQgAAAAFAAAAATEBAAAACy0xOTYxNDkxNzMyAwAAAAMxNjACAAAAAjIxBAAAAAEwBwAAAAk3LzE2LzIwMjYIAAAACjEyLzMxLzIwMjIJAAAAATCKTebYmuPeCE7bB9ma494IGENJUS5NRVRBLklRX09QRVJfSU5DLjk5OAEAAAAX2zwBAgAAAAU0Njc1MQEIAAAABQAAAAExAQAAAAstMTkwODUxMzM1MgMAAAADMTYwAgAAAAIyMQQAAAABMAcAAAAJNy8xNi8yMDI2CAAAAAoxMi8zMS8yMDIzCQAAAAEwik3m2Jrj3ghO</t>
  </si>
  <si>
    <t>2wfZmuPeCBpDSVEuTUVUQS5JUV9UT1RBTF9SRVYuMjAwMAEAAAAX2zwBAgAAAAYyMTQ5NjMBCAAAAAUAAAABMQEAAAALLTE4OTI0NTY3NTUDAAAAAzE2MAIAAAACMjgEAAAAATAHAAAACTcvMTYvMjAyNggAAAAJMy8zMS8yMDI2CQAAAAEwik3m2Jrj3ghO2wfZmuPeCBJDSVEuTUVUQS5JUV9HUC45OTYBAAAAF9s8AQIAAAAFOTUyODABCAAAAAUAAAABMQEAAAALLTIwMTE4NDM4MDQDAAAAAzE2MAIAAAACMTAEAAAAATAHAAAACTcvMTYvMjAyNggAAAAKMTIvMzEvMjAyMQkAAAABMIpN5tia494ITtsH2Zrj3ggZQ0lRLk1FVEEuSVFfT1BFUl9JTkMuMjAwMAEAAAAX2zwBAgAAAAU4ODU5MwEIAAAABQAAAAExAQAAAAstMTg5MjQ1Njc1NQMAAAADMTYwAgAAAAIyMQQAAAABMAcAAAAJNy8xNi8yMDI2CAAAAAkzLzMxLzIwMjYJAAAAATCKTebYmuPeCE7bB9ma494IFkNJUS5NRVRBLklRX0VCSVREQS45OTYBAAAAF9s8AQIAAAAFNTQ3MjABCAAAAAUAAAABMQEAAAALLTIwMTE4NDM4MDQDAAAAAzE2MAIAAAAENDA1MQQAAAABMAcAAAAJNy8xNi8yMDI2CAAAAAoxMi8zMS8yMDIxCQAAAAEwik3m2Jrj3ghO2wfZmuPeCBZDSVEuTUVUQS5JUV9FQklUREEuOTk3AQAAABfbPAECAAAABTQyMjQxAQgAAAAFAAAAATEBAAAACy0xOTYxNDkxNzMyAwAAAAMxNjACAAAABDQwNTEEAAAAATAHAAAACTcvMTYvMjAyNggAAAAK</t>
  </si>
  <si>
    <t>MTIvMzEvMjAyMgkAAAABMIpN5tia494ITtsH2Zrj3ggTQ0lRLk1FVEEuSVFfR1AuMTAwMAEAAAAX2zwBAgAAAAYxNjQ3OTEBCAAAAAUAAAABMQEAAAALLTE5MDg1MTMzNTMDAAAAAzE2MAIAAAACMTAEAAAAATAHAAAACTcvMTYvMjAyNggAAAAKMTIvMzEvMjAyNQkAAAABMIpN5tia494ITtsH2Zrj3ggTQ0lRLk1FVEEuSVFfR1AuMjAwMAEAAAAX2zwBAgAAAAYxNzYxNDIBCAAAAAUAAAABMQEAAAALLTE4OTI0NTY3NTUDAAAAAzE2MAIAAAACMTAEAAAAATAHAAAACTcvMTYvMjAyNggAAAAJMy8zMS8yMDI2CQAAAAEwik3m2Jrj3ghO2wfZmuPeCBZDSVEuTUVUQS5JUV9FQklUREEuOTk5AQAAABfbPAECAAAABTg0ODIwAQgAAAAFAAAAATEBAAAACy0xOTA4NTEzMzQ1AwAAAAMxNjACAAAABDQwNTEEAAAAATAHAAAACTcvMTYvMjAyNggAAAAKMTIvMzEvMjAyNAkAAAABMIpN5tia494ITtsH2Zrj3ggXQ0lRLk1FVEEuSVFfRUJJVERBLjEwMDABAAAAF9s8AQIAAAAGMTAxODkyAQgAAAAFAAAAATEBAAAACy0xOTA4NTEzMzUzAwAAAAMxNjACAAAABDQwNTEEAAAAATAHAAAACTcvMTYvMjAyNggAAAAKMTIvMzEvMjAyNQkAAAABMIpN5tia494ITtsH2Zrj3ggSQ0lRLk1FVEEuSVFfTkkuOTk2AQAAABfbPAECAAAABTM5MzcwAQgAAAAFAAAAATEBAAAACy0yMDExODQzODA0AwAAAAMxNjACAAAAAjE1BAAAAAEwBwAA</t>
  </si>
  <si>
    <t>AAk3LzE2LzIwMjYIAAAACjEyLzMxLzIwMjEJAAAAATCKTebYmuPeCE7bB9ma494IGENJUS5NRVRBLklRX09QRVJfSU5DLjk5OQEAAAAX2zwBAgAAAAU2OTM4MAEIAAAABQAAAAExAQAAAAstMTkwODUxMzM0NQMAAAADMTYwAgAAAAIyMQQAAAABMAcAAAAJNy8xNi8yMDI2CAAAAAoxMi8zMS8yMDI0CQAAAAEwik3m2Jrj3ghO2wfZmuPeCBlDSVEuTUVUQS5JUV9PUEVSX0lOQy4xMDAwAQAAABfbPAECAAAABTgzMjc2AQgAAAAFAAAAATEBAAAACy0xOTA4NTEzMzUzAwAAAAMxNjACAAAAAjIxBAAAAAEwBwAAAAk3LzE2LzIwMjYIAAAACjEyLzMxLzIwMjUJAAAAATCKTebYmuPeCE7bB9ma494IEkNJUS5NRVRBLklRX05JLjk5OAEAAAAX2zwBAgAAAAUzOTA5OAEIAAAABQAAAAExAQAAAAstMTkwODUxMzM1MgMAAAADMTYwAgAAAAIxNQQAAAABMAcAAAAJNy8xNi8yMDI2CAAAAAoxMi8zMS8yMDIzCQAAAAEwik3m2Jrj3ghO2wfZmuPeCBJDSVEuTUVUQS5JUV9OSS45OTkBAAAAF9s8AQIAAAAFNjIzNjABCAAAAAUAAAABMQEAAAALLTE5MDg1MTMzNDUDAAAAAzE2MAIAAAACMTUEAAAAATAHAAAACTcvMTYvMjAyNggAAAAKMTIvMzEvMjAyNAkAAAABMIpN5tia494ITtsH2Zrj3ggTQ0lRLk1FVEEuSVFfTkkuMTAwMAEAAAAX2zwBAgAAAAU2MDQ1OAEIAAAABQAAAAExAQAAAAstMTkwODUxMzM1MwMAAAADMTYwAgAA</t>
  </si>
  <si>
    <t>AAIxNQQAAAABMAcAAAAJNy8xNi8yMDI2CAAAAAoxMi8zMS8yMDI1CQAAAAEwik3m2Jrj3ghO2wfZmuPeCBNDSVEuTUVUQS5JUV9OSS4yMDAwAQAAABfbPAECAAAABTcwNTg3AQgAAAAFAAAAATEBAAAACy0xODkyNDU2NzU1AwAAAAMxNjACAAAAAjE1BAAAAAEwBwAAAAk3LzE2LzIwMjYIAAAACTMvMzEvMjAyNgkAAAABMIpN5tia494ITtsH2Zrj3ggWQ0lRLk1FVEEuSVFfRUJJVERBLjk5OAEAAAAX2zwBAgAAAAU1NzkyOQEIAAAABQAAAAExAQAAAAstMTkwODUxMzM1MgMAAAADMTYwAgAAAAQ0MDUxBAAAAAEwBwAAAAk3LzE2LzIwMjYIAAAACjEyLzMxLzIwMjMJAAAAATCKTebYmuPeCE7bB9ma494IEkNJUS5NRVRBLklRX05JLjk5NwEAAAAX2zwBAgAAAAUyMzIwMAEIAAAABQAAAAExAQAAAAstMTk2MTQ5MTczMgMAAAADMTYwAgAAAAIxNQQAAAABMAcAAAAJNy8xNi8yMDI2CAAAAAoxMi8zMS8yMDIyCQAAAAEwik3m2Jrj3ghO2wfZmuPeCBVDSVEuTUVUQS5JUV9DQVBFWC45OTYBAAAAF9s8AQIAAAAGLTE4NjkwAQgAAAAFAAAAATEBAAAACy0yMDExODQzODA0AwAAAAMxNjACAAAABDIwMjEEAAAAATAHAAAACTcvMTYvMjAyNggAAAAKMTIvMzEvMjAyMQkAAAABMIpN5tia494ITtsH2Zrj3ggVQ0lRLk1FVEEuSVFfQ0FQRVguOTk3AQAAABfbPAECAAAABi0zMTE4NgEIAAAABQAAAAExAQAAAAstMTk2MTQ5</t>
  </si>
  <si>
    <t>MTczMgMAAAADMTYwAgAAAAQyMDIxBAAAAAEwBwAAAAk3LzE2LzIwMjYIAAAACjEyLzMxLzIwMjIJAAAAATCKTebYmuPeCE7bB9ma494IFUNJUS5NRVRBLklRX0NBUEVYLjk5OAEAAAAX2zwBAgAAAAYtMjcwNDUBCAAAAAUAAAABMQEAAAALLTE5MDg1MTMzNTIDAAAAAzE2MAIAAAAEMjAyMQQAAAABMAcAAAAJNy8xNi8yMDI2CAAAAAoxMi8zMS8yMDIzCQAAAAEwik3m2Jrj3ghO2wfZmuPeCBVDSVEuTUVUQS5JUV9DQVBFWC45OTkBAAAAF9s8AQIAAAAGLTM3MjU2AQgAAAAFAAAAATEBAAAACy0xOTA4NTEzMzQ1AwAAAAMxNjACAAAABDIwMjEEAAAAATAHAAAACTcvMTYvMjAyNggAAAAKMTIvMzEvMjAyNAkAAAABMIpN5tia494ITtsH2Zrj3ggWQ0lRLk1FVEEuSVFfQ0FQRVguMjAwMAEAAAAX2zwBAgAAAAYtNzU3NDcBCAAAAAUAAAABMQEAAAALLTE4OTI0NTY3NTUDAAAAAzE2MAIAAAAEMjAyMQQAAAABMAcAAAAJNy8xNi8yMDI2CAAAAAkzLzMxLzIwMjYJAAAAATCKTebYmuPeCE7bB9ma494IHkNJUS5NRVRBLklRX1NUT0NLX0JBU0VEX0NGLjk5NgEAAAAX2zwBAgAAAAQ5MTY0AQgAAAAFAAAAATEBAAAACy0yMDExODQzODA0AwAAAAMxNjACAAAABDIxMjcEAAAAATAHAAAACTcvMTYvMjAyNggAAAAKMTIvMzEvMjAyMQkAAAABMIpN5tia494ITtsH2Zrj3ggeQ0lRLk1FVEEuSVFfU1RPQ0tfQkFTRURfQ0Yu</t>
  </si>
  <si>
    <t>OTk3AQAAABfbPAECAAAABTExOTkyAQgAAAAFAAAAATEBAAAACy0xOTYxNDkxNzMyAwAAAAMxNjACAAAABDIxMjcEAAAAATAHAAAACTcvMTYvMjAyNggAAAAKMTIvMzEvMjAyMgkAAAABMIpN5tia494ITtsH2Zrj3ggeQ0lRLk1FVEEuSVFfU1RPQ0tfQkFTRURfQ0YuOTk4AQAAABfbPAECAAAABTE0MDI3AQgAAAAFAAAAATEBAAAACy0xOTA4NTEzMzUyAwAAAAMxNjACAAAABDIxMjcEAAAAATAHAAAACTcvMTYvMjAyNggAAAAKMTIvMzEvMjAyMwkAAAABMIpN5tia494ITtsH2Zrj3ggfQ0lRLk1FVEEuSVFfU1RPQ0tfQkFTRURfQ0YuMTAwMAEAAAAX2zwBAgAAAAUyMDQyNwEIAAAABQAAAAExAQAAAAstMTkwODUxMzM1MwMAAAADMTYwAgAAAAQyMTI3BAAAAAEwBwAAAAk3LzE2LzIwMjYIAAAACjEyLzMxLzIwMjUJAAAAATCKTebYmuPeCE7bB9ma494IH0NJUS5NRVRBLklRX1NUT0NLX0JBU0VEX0NGLjIwMDABAAAAF9s8AQIAAAAFMjIzMTIBCAAAAAUAAAABMQEAAAALLTE4OTI0NTY3NTUDAAAAAzE2MAIAAAAEMjEyNwQAAAABMAcAAAAJNy8xNi8yMDI2CAAAAAkzLzMxLzIwMjYJAAAAATCKTebYmuPeCE7bB9ma494IIUNJUS5NRVRBLklRX1RPVEFMX0RJVl9QQUlEX0NGLjk5NgEAAAAX2zwBAwAAAAAAik3m2Jrj3ghO2wfZmuPeCCFDSVEuTUVUQS5JUV9UT1RBTF9ESVZfUEFJRF9DRi45OTcBAAAAF9s8AQMA</t>
  </si>
  <si>
    <t>AAAAAIpN5tia494ITtsH2Zrj3ggWQ0lRLk1FVEEuSVFfQ0FQRVguMTAwMAEAAAAX2zwBAgAAAAYtNjk2OTEBCAAAAAUAAAABMQEAAAALLTE5MDg1MTMzNTMDAAAAAzE2MAIAAAAEMjAyMQQAAAABMAcAAAAJNy8xNi8yMDI2CAAAAAoxMi8zMS8yMDI1CQAAAAEwik3m2Jrj3ghO2wfZmuPeCCFDSVEuTUVUQS5JUV9UT1RBTF9ESVZfUEFJRF9DRi45OTkBAAAAF9s8AQIAAAAFLTUwNzIBCAAAAAUAAAABMQEAAAALLTE5MDg1MTMzNDUDAAAAAzE2MAIAAAAEMjAyMgQAAAABMAcAAAAJNy8xNi8yMDI2CAAAAAoxMi8zMS8yMDI0CQAAAAEwik3m2Jrj3ghO2wfZmuPeCCJDSVEuTUVUQS5JUV9UT1RBTF9ESVZfUEFJRF9DRi4xMDAwAQAAABfbPAECAAAABS01MzI0AQgAAAAFAAAAATEBAAAACy0xOTA4NTEzMzUzAwAAAAMxNjACAAAABDIwMjIEAAAAATAHAAAACTcvMTYvMjAyNggAAAAKMTIvMzEvMjAyNQkAAAABMIpN5tia494ITtsH2Zrj3ggiQ0lRLk1FVEEuSVFfVE9UQUxfRElWX1BBSURfQ0YuMjAwMAEAAAAX2zwBAgAAAAUtNTM0MQEIAAAABQAAAAExAQAAAAstMTg5MjQ1Njc1NQMAAAADMTYwAgAAAAQyMDIyBAAAAAEwBwAAAAk3LzE2LzIwMjYIAAAACTMvMzEvMjAyNgkAAAABMIpN5tia494ITtsH2Zrj3ggaQ0lRLk1FVEEuSVFfQ09NTU9OX1JFUC45OTYBAAAAF9s8AQIAAAAGLTUwMDUyAQgAAAAFAAAAATEB</t>
  </si>
  <si>
    <t>AAAACy0yMDExODQzODA0AwAAAAMxNjACAAAABDIxNjQEAAAAATAHAAAACTcvMTYvMjAyNggAAAAKMTIvMzEvMjAyMQkAAAABMIpN5tia494ITtsH2Zrj3ggeQ0lRLk1FVEEuSVFfU1RPQ0tfQkFTRURfQ0YuOTk5AQAAABfbPAECAAAABTE2NjkwAQgAAAAFAAAAATEBAAAACy0xOTA4NTEzMzQ1AwAAAAMxNjACAAAABDIxMjcEAAAAATAHAAAACTcvMTYvMjAyNggAAAAKMTIvMzEvMjAyNAkAAAABMIpN5tia494ITtsH2Zrj3ggaQ0lRLk1FVEEuSVFfQ09NTU9OX1JFUC45OTcBAAAAF9s8AQIAAAAGLTMxNTUxAQgAAAAFAAAAATEBAAAACy0xOTYxNDkxNzMyAwAAAAMxNjACAAAABDIxNjQEAAAAATAHAAAACTcvMTYvMjAyNggAAAAKMTIvMzEvMjAyMgkAAAABMIpN5tia494ITtsH2Zrj3ggaQ0lRLk1FVEEuSVFfQ09NTU9OX1JFUC45OTgBAAAAF9s8AQIAAAAGLTI2Nzg2AQgAAAAFAAAAATEBAAAACy0xOTA4NTEzMzUyAwAAAAMxNjACAAAABDIxNjQEAAAAATAHAAAACTcvMTYvMjAyNggAAAAKMTIvMzEvMjAyMwkAAAABMIpN5tia494ITtsH2Zrj3ggaQ0lRLk1FVEEuSVFfQ09NTU9OX1JFUC45OTkBAAAAF9s8AQIAAAAGLTQzODk1AQgAAAAFAAAAATEBAAAACy0xOTA4NTEzMzQ1AwAAAAMxNjACAAAABDIxNjQEAAAAATAHAAAACTcvMTYvMjAyNggAAAAKMTIvMzEvMjAyNAkAAAABMIpN5tia494ITtsH2Zrj3ggb</t>
  </si>
  <si>
    <t>Q0lRLk1FVEEuSVFfQ09NTU9OX1JFUC4xMDAwAQAAABfbPAECAAAABi00NDY0OAEIAAAABQAAAAExAQAAAAstMTkwODUxMzM1MwMAAAADMTYwAgAAAAQyMTY0BAAAAAEwBwAAAAk3LzE2LzIwMjYIAAAACjEyLzMxLzIwMjUJAAAAATCKTebYmuPeCE7bB9ma494IIUNJUS5NRVRBLklRX1RPVEFMX0RJVl9QQUlEX0NGLjk5OAEAAAAX2zwBAwAAAAAAik3m2Jrj3ghO2wfZmuPeCB5DSVEuTUVUQS5JUV9DQVNIX1NUX0lOVkVTVC45OTYBAAAAF9s8AQIAAAAFNDc5OTgBCAAAAAUAAAABMQEAAAALLTIwMTE4NDM4MDQDAAAAAzE2MAIAAAAEMTAwMgQAAAABMAcAAAAJNy8xNi8yMDI2CAAAAAoxMi8zMS8yMDIxCQAAAAEwik3m2Jrj3ghO2wfZmuPeCB5DSVEuTUVUQS5JUV9DQVNIX1NUX0lOVkVTVC45OTcBAAAAF9s8AQIAAAAFNDA3MzgBCAAAAAUAAAABMQEAAAALLTE5NjE0OTE3MzIDAAAAAzE2MAIAAAAEMTAwMgQAAAABMAcAAAAJNy8xNi8yMDI2CAAAAAoxMi8zMS8yMDIyCQAAAAEwik3m2Jrj3ghO2wfZmuPeCB5DSVEuTUVUQS5JUV9DQVNIX1NUX0lOVkVTVC45OTgBAAAAF9s8AQIAAAAFNjU0MDMBCAAAAAUAAAABMQEAAAALLTE5MDg1MTMzNTIDAAAAAzE2MAIAAAAEMTAwMgQAAAABMAcAAAAJNy8xNi8yMDI2CAAAAAoxMi8zMS8yMDIzCQAAAAEwik3m2Jrj3ggnoAfZmuPeCB5DSVEuTUVUQS5JUV9DQVNIX1NU</t>
  </si>
  <si>
    <t>X0lOVkVTVC45OTkBAAAAF9s8AQIAAAAFNzc4MTUBCAAAAAUAAAABMQEAAAALLTE5MDg1MTMzNDUDAAAAAzE2MAIAAAAEMTAwMgQAAAABMAcAAAAJNy8xNi8yMDI2CAAAAAoxMi8zMS8yMDI0CQAAAAEwik3m2Jrj3ghO2wfZmuPeCB9DSVEuTUVUQS5JUV9DQVNIX1NUX0lOVkVTVC4xMDAwAQAAABfbPAECAAAABTgxNTkyAQgAAAAFAAAAATEBAAAACy0xOTA4NTEzMzUzAwAAAAMxNjACAAAABDEwMDIEAAAAATAHAAAACTcvMTYvMjAyNggAAAAKMTIvMzEvMjAyNQkAAAABMIpN5tia494ITtsH2Zrj3ggfQ0lRLk1FVEEuSVFfQ0FTSF9TVF9JTlZFU1QuMjAwMAEAAAAX2zwBAgAAAAU4MTE4MAEIAAAABQAAAAExAQAAAAstMTg5MjQ1Njc1NQMAAAADMTYwAgAAAAQxMDAyBAAAAAEwBwAAAAk3LzE2LzIwMjYIAAAACTMvMzEvMjAyNgkAAAABMIpN5tia494ITtsH2Zrj3ggaQ0lRLk1FVEEuSVFfVE9UQUxfREVCVC45OTYBAAAAF9s8AQIAAAAFMTM4NzMBCAAAAAUAAAABMQEAAAALLTIwMTE4NDM4MDQDAAAAAzE2MAIAAAAENDE3MwQAAAABMAcAAAAJNy8xNi8yMDI2CAAAAAoxMi8zMS8yMDIxCQAAAAEwik3m2Jrj3ghO2wfZmuPeCBpDSVEuTUVUQS5JUV9UT1RBTF9ERUJULjk5NwEAAAAX2zwBAgAAAAUyNjU5MQEIAAAABQAAAAExAQAAAAstMTk2MTQ5MTczMgMAAAADMTYwAgAAAAQ0MTczBAAAAAEwBwAAAAk3LzE2</t>
  </si>
  <si>
    <t>LzIwMjYIAAAACjEyLzMxLzIwMjIJAAAAATCKTebYmuPeCCegB9ma494IGkNJUS5NRVRBLklRX1RPVEFMX0RFQlQuOTk4AQAAABfbPAECAAAABTM3MjM0AQgAAAAFAAAAATEBAAAACy0xOTA4NTEzMzUyAwAAAAMxNjACAAAABDQxNzMEAAAAATAHAAAACTcvMTYvMjAyNggAAAAKMTIvMzEvMjAyMwkAAAABMIpN5tia494IJ6AH2Zrj3ggaQ0lRLk1FVEEuSVFfVE9UQUxfREVCVC45OTkBAAAAF9s8AQIAAAAFNDkwNjABCAAAAAUAAAABMQEAAAALLTE5MDg1MTMzNDUDAAAAAzE2MAIAAAAENDE3MwQAAAABMAcAAAAJNy8xNi8yMDI2CAAAAAoxMi8zMS8yMDI0CQAAAAEwik3m2Jrj3ggnoAfZmuPeCBtDSVEuTUVUQS5JUV9UT1RBTF9ERUJULjEwMDABAAAAF9s8AQIAAAAFODUwODEBCAAAAAUAAAABMQEAAAALLTE5MDg1MTMzNTMDAAAAAzE2MAIAAAAENDE3MwQAAAABMAcAAAAJNy8xNi8yMDI2CAAAAAoxMi8zMS8yMDI1CQAAAAEwik3m2Jrj3ggnoAfZmuPeCBtDSVEuTUVUQS5JUV9UT1RBTF9ERUJULjIwMDABAAAAF9s8AQIAAAAFODY3NjkBCAAAAAUAAAABMQEAAAALLTE4OTI0NTY3NTUDAAAAAzE2MAIAAAAENDE3MwQAAAABMAcAAAAJNy8xNi8yMDI2CAAAAAkzLzMxLzIwMjYJAAAAATCKTebYmuPeCCegB9ma494IHENJUS5NRVRBLklRX1RPVEFMX0VRVUlUWS45OTYBAAAAF9s8AQIAAAAGMTI0ODc5AQgAAAAF</t>
  </si>
  <si>
    <t>AAAAATEBAAAACy0yMDExODQzODA0AwAAAAMxNjACAAAABDEyNzUEAAAAATAHAAAACTcvMTYvMjAyNggAAAAKMTIvMzEvMjAyMQkAAAABMIpN5tia494IJ6AH2Zrj3ggcQ0lRLk1FVEEuSVFfVE9UQUxfRVFVSVRZLjk5NwEAAAAX2zwBAgAAAAYxMjU3MTMBCAAAAAUAAAABMQEAAAALLTE5NjE0OTE3MzIDAAAAAzE2MAIAAAAEMTI3NQQAAAABMAcAAAAJNy8xNi8yMDI2CAAAAAoxMi8zMS8yMDIyCQAAAAEwik3m2Jrj3ggnoAfZmuPeCBxDSVEuTUVUQS5JUV9UT1RBTF9FUVVJVFkuOTk4AQAAABfbPAECAAAABjE1MzE2OAEIAAAABQAAAAExAQAAAAstMTkwODUxMzM1MgMAAAADMTYwAgAAAAQxMjc1BAAAAAEwBwAAAAk3LzE2LzIwMjYIAAAACjEyLzMxLzIwMjMJAAAAATCKTebYmuPeCCegB9ma494IHENJUS5NRVRBLklRX1RPVEFMX0VRVUlUWS45OTkBAAAAF9s8AQIAAAAGMTgyNjM3AQgAAAAFAAAAATEBAAAACy0xOTA4NTEzMzQ1AwAAAAMxNjACAAAABDEyNzUEAAAAATAHAAAACTcvMTYvMjAyNggAAAAKMTIvMzEvMjAyNAkAAAABMIpN5tia494IJ6AH2Zrj3ggdQ0lRLk1FVEEuSVFfVE9UQUxfRVFVSVRZLjEwMDABAAAAF9s8AQIAAAAGMjE3MjQzAQgAAAAFAAAAATEBAAAACy0xOTA4NTEzMzUzAwAAAAMxNjACAAAABDEyNzUEAAAAATAHAAAACTcvMTYvMjAyNggAAAAKMTIvMzEvMjAyNQkAAAABMIpN5tia</t>
  </si>
  <si>
    <t>494IJ6AH2Zrj3ggdQ0lRLk1FVEEuSVFfVE9UQUxfRVFVSVRZLjIwMDABAAAAF9s8AQIAAAAGMjQzNjgxAQgAAAAFAAAAATEBAAAACy0xODkyNDU2NzU1AwAAAAMxNjACAAAABDEyNzUEAAAAATAHAAAACTcvMTYvMjAyNggAAAAJMy8zMS8yMDI2CQAAAAEwik3m2Jrj3ggnoAfZmuPeCBxDSVEuTUVUQS5JUV9UT1RBTF9BU1NFVFMuOTk2AQAAABfbPAECAAAABjE2NTk4NwEIAAAABQAAAAExAQAAAAstMjAxMTg0MzgwNAMAAAADMTYwAgAAAAQxMDA3BAAAAAEwBwAAAAk3LzE2LzIwMjYIAAAACjEyLzMxLzIwMjEJAAAAATCKTebYmuPeCCegB9ma494IHENJUS5NRVRBLklRX1RPVEFMX0FTU0VUUy45OTcBAAAAF9s8AQIAAAAGMTg1NzI3AQgAAAAFAAAAATEBAAAACy0xOTYxNDkxNzMyAwAAAAMxNjACAAAABDEwMDcEAAAAATAHAAAACTcvMTYvMjAyNggAAAAKMTIvMzEvMjAyMgkAAAABMIpN5tia494IJ6AH2Zrj3ggcQ0lRLk1FVEEuSVFfVE9UQUxfQVNTRVRTLjk5OAEAAAAX2zwBAgAAAAYyMjk2MjMBCAAAAAUAAAABMQEAAAALLTE5MDg1MTMzNTIDAAAAAzE2MAIAAAAEMTAwNwQAAAABMAcAAAAJNy8xNi8yMDI2CAAAAAoxMi8zMS8yMDIzCQAAAAEwik3m2Jrj3ggnoAfZmuPeCBxDSVEuTUVUQS5JUV9UT1RBTF9BU1NFVFMuOTk5AQAAABfbPAECAAAABjI3NjA1NAEIAAAABQAAAAExAQAAAAstMTkwODUxMzM0</t>
  </si>
  <si>
    <t>NQMAAAADMTYwAgAAAAQxMDA3BAAAAAEwBwAAAAk3LzE2LzIwMjYIAAAACjEyLzMxLzIwMjQJAAAAATCKTebYmuPeCCegB9ma494IHUNJUS5NRVRBLklRX1RPVEFMX0FTU0VUUy4xMDAwAQAAABfbPAECAAAABjM2NjAyMQEIAAAABQAAAAExAQAAAAstMTkwODUxMzM1MwMAAAADMTYwAgAAAAQxMDA3BAAAAAEwBwAAAAk3LzE2LzIwMjYIAAAACjEyLzMxLzIwMjUJAAAAATCKTebYmuPeCCegB9ma494IHUNJUS5NRVRBLklRX1RPVEFMX0FTU0VUUy4yMDAwAQAAABfbPAECAAAABjM5NTI1MAEIAAAABQAAAAExAQAAAAstMTg5MjQ1Njc1NQMAAAADMTYwAgAAAAQxMDA3BAAAAAEwBwAAAAk3LzE2LzIwMjYIAAAACTMvMzEvMjAyNgkAAAABMIpN5tia494IJ6AH2Zrj3ggcQ0lRLk1FVEEuSVFfRElMVVRfV0VJR0hULjk5NgEAAAAX2zwBAgAAAAQyODU5AIpN5tia494IJ6AH2Zrj3ggcQ0lRLk1FVEEuSVFfRElMVVRfV0VJR0hULjk5NwEAAAAX2zwBAgAAAAQyNzAyAIpN5tia494IJ6AH2Zrj3ggcQ0lRLk1FVEEuSVFfRElMVVRfV0VJR0hULjk5OAEAAAAX2zwBAgAAAAQyNjI5AIpN5tia494IJ6AH2Zrj3ggcQ0lRLk1FVEEuSVFfRElMVVRfV0VJR0hULjk5OQEAAAAX2zwBAgAAAAQyNjE0AIpN5tia494IJ6AH2Zrj3ggdQ0lRLk1FVEEuSVFfRElMVVRfV0VJR0hULjEwMDABAAAAF9s8AQIAAAAEMjU3NACKTebYmuPe</t>
  </si>
  <si>
    <t>CCegB9ma494IHUNJUS5NRVRBLklRX0RJTFVUX1dFSUdIVC4yMDAwAQAAABfbPAECAAAABjI1NjcuNQCKTebYmuPeCCegB9ma494IG0NJUS5NRVRBLklRX0NPTU1PTl9SRVAuMjAwMAEAAAAX2zwBAgAAAAYtMzE0MzQBCAAAAAUAAAABMQEAAAALLTE4OTI0NTY3NTUDAAAAAzE2MAIAAAAEMjE2NAQAAAABMAcAAAAJNy8xNi8yMDI2CAAAAAkzLzMxLzIwMjYJAAAAATCKTebYmuPeCFRJCtya494IF0NJUS5NRVRBLklRX0VCSVREQS4yMDAwAQAAABfbPAECAAAABjEwOTMwOAEIAAAABQAAAAExAQAAAAstMTg5MjQ1Njc1NQMAAAADMTYwAgAAAAQ0MDUxBAAAAAEwBwAAAAk3LzE2LzIwMjYIAAAACTMvMzEvMjAyNgkAAAABMIpN5tia494IVEkK3Jrj3gggQ0lRLk1FVEEuSVFfQ0FTSF9PUEVSLi4xNy1KVUwtMjYBAAAAF9s8AQIAAAAGMTI0MDAwAQgAAAAFAAAAATEBAAAACy0xODkyNDU2NzU1AwAAAAMxNjACAAAABDIwMDYEAAAAATAHAAAACTcvMTcvMjAyNggAAAAJMy8zMS8yMDI2CQAAAAEwik3m2Jrj3ghUSQrcmuPeCBxDSVEuTUVUQS5JUV9DQVBFWC4uMTctSlVMLTI2AQAAABfbPAECAAAABi03NTc0NwEIAAAABQAAAAExAQAAAAstMTg5MjQ1Njc1NQMAAAADMTYwAgAAAAQyMDIxBAAAAAEwBwAAAAk3LzE3LzIwMjYIAAAACTMvMzEvMjAyNgkAAAABMIpN5tia494IVEkK3Jrj3gghQ0lRLk1FVEEuSVFfVE9U</t>
  </si>
  <si>
    <t>QUxfREVCVC4uMTctSlVMLTI2AQAAABfbPAECAAAABTg2NzY5AQgAAAAFAAAAATEBAAAACy0xODkyNDU2NzU1AwAAAAMxNjACAAAABDQxNzMEAAAAATAHAAAACTcvMTcvMjAyNggAAAAJMy8zMS8yMDI2CQAAAAEwik3m2Jrj3ghUSQrcmuPeCCVDSVEuTUVUQS5JUV9DQVNIX1NUX0lOVkVTVC4uMTctSlVMLTI2AQAAABfbPAECAAAABTgxMTgwAQgAAAAFAAAAATEBAAAACy0xODkyNDU2NzU1AwAAAAMxNjACAAAABDEwMDIEAAAAATAHAAAACTcvMTcvMjAyNggAAAAJMy8zMS8yMDI2CQAAAAEwik3m2Jrj3ghUSQrcmuPeCCpDSVEuTUVUQS5JUV9UT1RBTF9PVVRTVEFORElOR19CU19EQVRFX0NTLi4BAAAAF9s8AQIAAAAEMjUzOAEJAAAABQAAAAIxOQEAAAAIMjk3MjMwMzYCAAAABTMyNjYyCQAAAAItMQMAAAABMAYAAAAINS80LzIwMjYHAAAACTcvMTYvMjAyNggAAAABMAQAAAABMC2KR9ma494IOmBZ2Zrj3ggVQ0lRLk1FVEEuSVFfQkVUQV81WVIuAQAAABfbPAECAAAAEDEuMjQ1NjY4NzM1NTM4OTIALYpH2Zrj3gg6YFnZmuPeCBdDSVEuTUVUQS5JUV9NQVJLRVRDQVAuLgEAAAAX2zwBAgAAAA0xNjg2ODgzLjgyMjQ0AQYAAAAFAAAAATEBAAAACy0xODkyNDU5MDY3AwAAAAMxNjACAAAABjEwMDA1NAQAAAABMAcAAAAJNy8xNi8yMDI2LYpH2Zrj3gg6YFnZmuPeCBtDSVEuTUVUQS5JUV9ESVZJREVORF9ZSUVM</t>
  </si>
  <si>
    <t>RC4BAAAAF9s8AQIAAAAGMC4zMDgyAC2KR9ma494IOmBZ2Zrj3ggQQ0lRLk1FVEEuSVFfVEVWLgEAAAAX2zwBAgAAAA0xNjkyNDcyLjgyMjQ0AQYAAAAFAAAAATEBAAAACy0xODkyNDU5MDY3AwAAAAMxNjACAAAABjEwMDA2MAQAAAABMAcAAAAJNy8xNi8yMDI2LYpH2Zrj3gg6YFnZmuPeCBdDSVEuTUVUQS5JUV9DTE9TRVBSSUNFLgEAAAAX2zwBAgAAAAY2NjQuNTQALYpH2Zrj3gg6YFnZmuPeCBZDSVEuTUVUQS5JUV9NQVJLRVRDQVAuAQAAABfbPAECAAAADTE2ODY4ODMuODIyNDQBBgAAAAUAAAABMQEAAAALLTE4OTI0NTkwNjcDAAAAAzE2MAIAAAAGMTAwMDU0BAAAAAEwBwAAAAk3LzE2LzIwMjYtikfZmuPeCDpgWdma494IFENJUS5NRVRBLklRX1lFQVJMT1cuAQAAABfbPAECAAAABjUyMC4yNgAtikfZmuPeCDpgWdma494IFUNJUS5NRVRBLklRX1lFQVJISUdILgEAAAAX2zwBAgAAAAY3OTYuMjUALYpH2Zrj3gg6YFnZmuPeCCNDSVEuTUVUQS5JUV9TSEFSRVNPVVRTVEFORElOR19PVVQuLgEAAAAX2zwBAgAAAAsyNTM4LjQyMzMwNAAtikfZmuPeCDpgWdma494IEUNJUS5NRVRBLklRX1RFVi4uAQAAABfbPAECAAAADTE2OTI0NzIuODIyNDQBBgAAAAUAAAABMQEAAAALLTE4OTI0NTkwNjcDAAAAAzE2MAIAAAAGMTAwMDYwBAAAAAEwBwAAAAk3LzE2LzIwMjYtikfZmuPeCDpgWdma494IGENJUS5NRVRB</t>
  </si>
  <si>
    <t>LklRX1RFVl9FQklUREEuLgEAAAAX2zwBAgAAAA8xNC45MTk3MzkwODcxNzIBBwAAAAUAAAABMQEAAAALLTE4OTI0NTY3NTUDAAAAATACAAAABjEwMDA2MwQAAAABMAcAAAAJNy8xNi8yMDI2CAAAAAk3LzE2LzIwMjYtikfZmuPeCDpgWdma494IEUNJUS5NRVRBLklRX1BCVi4uAQAAABfbPAECAAAAEDYuOTIxMzU0MjU1NzQ5NjUBBwAAAAUAAAABMQEAAAALLTE4OTI0NTY3NTUDAAAAATACAAAABjEwMDA2NwQAAAABMAcAAAAJNy8xNi8yMDI2CAAAAAk3LzE2LzIwMjYtikfZmuPeCDpgWdma494IG0NJUS5NRVRBLklRX1RFVl9UT1RBTF9SRVYuLgEAAAAX2zwBAgAAABA3Ljg3MzMyMTU1OTcxMTAyAQcAAAAFAAAAATEBAAAACy0xODkyNDU2NzU1AwAAAAEwAgAAAAYxMDAwNjEEAAAAATAHAAAACTcvMTYvMjAyNggAAAAJNy8xNi8yMDI2LYpH2Zrj3gg6YFnZmuPeCBhDSVEuTUVUQS5JUV9UT1RBTF9ERUJULi4BAAAAF9s8AQIAAAAFODY3NjkBCAAAAAUAAAABMQEAAAALLTE4OTI0NTY3NTUDAAAAAzE2MAIAAAAENDE3MwQAAAABMAcAAAAJNy8xNi8yMDI2CAAAAAkzLzMxLzIwMjYJAAAAATAtikfZmuPeCDpgWdma494IHENJUS5NRVRBLklRX0NBU0hfU1RfSU5WRVNULi4BAAAAF9s8AQIAAAAFODExODABCAAAAAUAAAABMQEAAAALLTE4OTI0NTY3NTUDAAAAAzE2MAIAAAAEMTAwMgQAAAABMAcAAAAJNy8xNi8y</t>
  </si>
  <si>
    <t>MDI2CAAAAAkzLzMxLzIwMjYJAAAAATAtikfZmuPeCDpgWdma494I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</si>
</sst>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0.00\);&quot;-&quot;"/>
    <numFmt numFmtId="166" formatCode="\$#,##0;\(\$#,##0\);&quot;-&quot;"/>
    <numFmt numFmtId="167" formatCode="#,##0;\(#,##0\);&quot;-&quot;"/>
    <numFmt numFmtId="168" formatCode="0.00;\(0.00\);&quot;-&quot;"/>
    <numFmt numFmtId="169" formatCode="0.0;\(0.0\);&quot;-&quot;"/>
    <numFmt numFmtId="170" formatCode="0.0&quot;x&quot;;\(0.0&quot;x&quot;\);&quot;-&quot;"/>
    <numFmt numFmtId="171" formatCode="0.0%"/>
    <numFmt numFmtId="172" formatCode="0.0&quot;x&quot;"/>
    <numFmt numFmtId="173" formatCode="0.0&quot;%&quot;"/>
  </numFmts>
  <fonts count="23" x14ac:knownFonts="1">
    <font>
      <sz val="11"/>
      <color theme="1"/>
      <name val="Calibri"/>
      <family val="2"/>
      <scheme val="minor"/>
    </font>
    <font>
      <b/>
      <sz val="14"/>
      <color rgb="FF1F3864"/>
      <name val="Arial"/>
    </font>
    <font>
      <b/>
      <sz val="11"/>
      <name val="Arial"/>
    </font>
    <font>
      <b/>
      <sz val="11"/>
      <color rgb="FF0000FF"/>
      <name val="Arial"/>
    </font>
    <font>
      <i/>
      <sz val="9"/>
      <color rgb="FF595959"/>
      <name val="Arial"/>
    </font>
    <font>
      <b/>
      <sz val="11"/>
      <color rgb="FFFFFFFF"/>
      <name val="Arial"/>
    </font>
    <font>
      <sz val="10"/>
      <name val="Consolas"/>
    </font>
    <font>
      <sz val="11"/>
      <name val="Arial"/>
    </font>
    <font>
      <b/>
      <sz val="11"/>
      <color rgb="FFC00000"/>
      <name val="Arial"/>
    </font>
    <font>
      <sz val="11"/>
      <color rgb="FF7F6000"/>
      <name val="Arial"/>
    </font>
    <font>
      <sz val="11"/>
      <color rgb="FF808080"/>
      <name val="Arial"/>
    </font>
    <font>
      <sz val="10"/>
      <name val="Arial"/>
    </font>
    <font>
      <b/>
      <sz val="11"/>
      <color rgb="FF1F3864"/>
      <name val="Arial"/>
    </font>
    <font>
      <sz val="11"/>
      <color theme="1"/>
      <name val="Calibri"/>
      <family val="2"/>
      <scheme val="minor"/>
    </font>
    <font>
      <b/>
      <sz val="11"/>
      <color rgb="FF0000FF"/>
      <name val="Arial"/>
      <family val="2"/>
    </font>
    <font>
      <b/>
      <sz val="11"/>
      <color rgb="FFFFFFFF"/>
      <name val="Arial"/>
      <family val="2"/>
    </font>
    <font>
      <sz val="10"/>
      <name val="Consolas"/>
      <family val="3"/>
    </font>
    <font>
      <sz val="11"/>
      <name val="Arial"/>
      <family val="2"/>
    </font>
    <font>
      <b/>
      <sz val="11"/>
      <color rgb="FF000000"/>
      <name val="Arial"/>
    </font>
    <font>
      <sz val="11"/>
      <color rgb="FF000000"/>
      <name val="Arial"/>
    </font>
    <font>
      <sz val="9"/>
      <color rgb="FF595959"/>
      <name val="Arial"/>
    </font>
    <font>
      <b/>
      <sz val="9"/>
      <color rgb="FF595959"/>
      <name val="Arial"/>
    </font>
    <font>
      <sz val="11"/>
      <color rgb="FF000000"/>
      <name val="Arial"/>
    </font>
  </fonts>
  <fills count="17">
    <fill>
      <patternFill patternType="none"/>
    </fill>
    <fill>
      <patternFill patternType="gray125"/>
    </fill>
    <fill>
      <patternFill patternType="solid">
        <fgColor rgb="FFFFF2CC"/>
      </patternFill>
    </fill>
    <fill>
      <patternFill patternType="solid">
        <fgColor rgb="FF1F3864"/>
      </patternFill>
    </fill>
    <fill>
      <patternFill patternType="solid">
        <fgColor rgb="FFD9E1F2"/>
      </patternFill>
    </fill>
    <fill>
      <patternFill patternType="solid">
        <fgColor rgb="FFE2EFDA"/>
      </patternFill>
    </fill>
    <fill>
      <patternFill patternType="solid">
        <fgColor rgb="FFEDEDED"/>
      </patternFill>
    </fill>
    <fill>
      <patternFill patternType="solid">
        <fgColor rgb="FF2E5496"/>
      </patternFill>
    </fill>
    <fill>
      <patternFill patternType="solid">
        <fgColor rgb="FFFFFF00"/>
        <bgColor indexed="64"/>
      </patternFill>
    </fill>
    <fill>
      <patternFill patternType="solid">
        <fgColor rgb="FFFFF2CC"/>
      </patternFill>
    </fill>
    <fill>
      <patternFill patternType="solid">
        <fgColor rgb="FFEDEDED"/>
      </patternFill>
    </fill>
    <fill>
      <patternFill patternType="solid">
        <fgColor rgb="FF1F3864"/>
      </patternFill>
    </fill>
    <fill>
      <patternFill patternType="solid">
        <fgColor rgb="FFE2EFDA"/>
      </patternFill>
    </fill>
    <fill>
      <patternFill patternType="solid">
        <fgColor rgb="FFD9E1F2"/>
      </patternFill>
    </fill>
    <fill>
      <patternFill patternType="solid">
        <fgColor rgb="FF1F3864"/>
      </patternFill>
    </fill>
    <fill>
      <patternFill patternType="solid">
        <fgColor rgb="FFEDEDED"/>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9" fontId="13" fillId="0" borderId="0"/>
  </cellStyleXfs>
  <cellXfs count="91">
    <xf numFmtId="0" fontId="0" fillId="0" borderId="0" xfId="0"/>
    <xf numFmtId="0" fontId="2" fillId="0" borderId="0" xfId="0" applyFont="1"/>
    <xf numFmtId="0" fontId="5" fillId="3" borderId="1" xfId="0" applyFont="1" applyFill="1" applyBorder="1" applyAlignment="1">
      <alignment horizontal="left" vertical="center" wrapText="1"/>
    </xf>
    <xf numFmtId="0" fontId="2" fillId="4" borderId="1" xfId="0" applyFont="1" applyFill="1" applyBorder="1"/>
    <xf numFmtId="0" fontId="6" fillId="0" borderId="1" xfId="0" applyFont="1" applyBorder="1"/>
    <xf numFmtId="0" fontId="7" fillId="0" borderId="1" xfId="0" applyFont="1" applyBorder="1"/>
    <xf numFmtId="0" fontId="7" fillId="5" borderId="1" xfId="0" applyFont="1" applyFill="1" applyBorder="1"/>
    <xf numFmtId="0" fontId="4" fillId="0" borderId="1" xfId="0" applyFont="1" applyBorder="1"/>
    <xf numFmtId="0" fontId="8" fillId="0" borderId="1" xfId="0" applyFont="1" applyBorder="1"/>
    <xf numFmtId="0" fontId="0" fillId="0" borderId="1" xfId="0" applyBorder="1"/>
    <xf numFmtId="49" fontId="7" fillId="0" borderId="1" xfId="0" applyNumberFormat="1" applyFont="1" applyBorder="1"/>
    <xf numFmtId="0" fontId="9" fillId="0" borderId="1" xfId="0" applyFont="1" applyBorder="1"/>
    <xf numFmtId="0" fontId="10" fillId="0" borderId="1" xfId="0" applyFont="1" applyBorder="1"/>
    <xf numFmtId="164" fontId="7" fillId="0" borderId="1" xfId="0" applyNumberFormat="1" applyFont="1" applyBorder="1"/>
    <xf numFmtId="165" fontId="7" fillId="5" borderId="1" xfId="0" applyNumberFormat="1" applyFont="1" applyFill="1" applyBorder="1"/>
    <xf numFmtId="166" fontId="7" fillId="5" borderId="1" xfId="0" applyNumberFormat="1" applyFont="1" applyFill="1" applyBorder="1"/>
    <xf numFmtId="167" fontId="7" fillId="5" borderId="1" xfId="0" applyNumberFormat="1" applyFont="1" applyFill="1" applyBorder="1"/>
    <xf numFmtId="168" fontId="7" fillId="5" borderId="1" xfId="0" applyNumberFormat="1" applyFont="1" applyFill="1" applyBorder="1"/>
    <xf numFmtId="169" fontId="7" fillId="6" borderId="1" xfId="0" applyNumberFormat="1" applyFont="1" applyFill="1" applyBorder="1"/>
    <xf numFmtId="170" fontId="7" fillId="5" borderId="1" xfId="0" applyNumberFormat="1" applyFont="1" applyFill="1" applyBorder="1"/>
    <xf numFmtId="166" fontId="7" fillId="6" borderId="1" xfId="0" applyNumberFormat="1" applyFont="1" applyFill="1" applyBorder="1"/>
    <xf numFmtId="0" fontId="5" fillId="3" borderId="1" xfId="0" applyFont="1" applyFill="1" applyBorder="1" applyAlignment="1">
      <alignment horizontal="center" vertical="center" wrapText="1"/>
    </xf>
    <xf numFmtId="170" fontId="7" fillId="6" borderId="1" xfId="0" applyNumberFormat="1" applyFont="1" applyFill="1" applyBorder="1"/>
    <xf numFmtId="165" fontId="7" fillId="6" borderId="1" xfId="0" applyNumberFormat="1" applyFont="1" applyFill="1" applyBorder="1"/>
    <xf numFmtId="0" fontId="5" fillId="3" borderId="1" xfId="0" applyFont="1" applyFill="1" applyBorder="1"/>
    <xf numFmtId="0" fontId="0" fillId="3" borderId="1" xfId="0" applyFill="1" applyBorder="1"/>
    <xf numFmtId="165" fontId="0" fillId="6" borderId="0" xfId="0" applyNumberFormat="1" applyFill="1"/>
    <xf numFmtId="0" fontId="5" fillId="7" borderId="1" xfId="0" applyFont="1" applyFill="1" applyBorder="1"/>
    <xf numFmtId="0" fontId="2" fillId="0" borderId="1" xfId="0" applyFont="1" applyBorder="1"/>
    <xf numFmtId="165" fontId="0" fillId="6" borderId="1" xfId="0" applyNumberFormat="1" applyFill="1" applyBorder="1"/>
    <xf numFmtId="169" fontId="0" fillId="6" borderId="1" xfId="0" applyNumberFormat="1" applyFill="1" applyBorder="1"/>
    <xf numFmtId="0" fontId="0" fillId="5" borderId="0" xfId="0" applyFill="1"/>
    <xf numFmtId="0" fontId="0" fillId="6" borderId="1" xfId="0" applyFill="1" applyBorder="1"/>
    <xf numFmtId="166" fontId="0" fillId="6" borderId="1" xfId="0" applyNumberFormat="1" applyFill="1" applyBorder="1"/>
    <xf numFmtId="170" fontId="0" fillId="6" borderId="1" xfId="0" applyNumberFormat="1" applyFill="1" applyBorder="1"/>
    <xf numFmtId="0" fontId="1" fillId="0" borderId="0" xfId="0" applyFont="1"/>
    <xf numFmtId="0" fontId="11" fillId="0" borderId="0" xfId="0" applyFont="1"/>
    <xf numFmtId="0" fontId="12" fillId="0" borderId="0" xfId="0" applyFont="1"/>
    <xf numFmtId="0" fontId="0" fillId="0" borderId="0" xfId="0" quotePrefix="1"/>
    <xf numFmtId="0" fontId="1" fillId="0" borderId="0" xfId="0" applyFont="1" applyAlignment="1">
      <alignment horizontal="left" vertical="center"/>
    </xf>
    <xf numFmtId="0" fontId="14" fillId="2" borderId="1" xfId="0" applyFont="1" applyFill="1" applyBorder="1"/>
    <xf numFmtId="0" fontId="15" fillId="3" borderId="1" xfId="0" applyFont="1" applyFill="1" applyBorder="1" applyAlignment="1">
      <alignment horizontal="left" vertical="center" wrapText="1"/>
    </xf>
    <xf numFmtId="0" fontId="16" fillId="0" borderId="1" xfId="0" applyFont="1" applyBorder="1"/>
    <xf numFmtId="0" fontId="17" fillId="0" borderId="1" xfId="0" applyFont="1" applyBorder="1"/>
    <xf numFmtId="170" fontId="17" fillId="5" borderId="1" xfId="0" applyNumberFormat="1" applyFont="1" applyFill="1" applyBorder="1"/>
    <xf numFmtId="9" fontId="7" fillId="6" borderId="1" xfId="1" applyFont="1" applyFill="1" applyBorder="1"/>
    <xf numFmtId="10" fontId="7" fillId="6" borderId="1" xfId="1" applyNumberFormat="1" applyFont="1" applyFill="1" applyBorder="1"/>
    <xf numFmtId="171" fontId="7" fillId="5" borderId="1" xfId="1" applyNumberFormat="1" applyFont="1" applyFill="1" applyBorder="1"/>
    <xf numFmtId="10" fontId="7" fillId="5" borderId="1" xfId="1" applyNumberFormat="1" applyFont="1" applyFill="1" applyBorder="1"/>
    <xf numFmtId="10" fontId="7" fillId="8" borderId="1" xfId="1" applyNumberFormat="1" applyFont="1" applyFill="1" applyBorder="1"/>
    <xf numFmtId="9" fontId="0" fillId="6" borderId="1" xfId="1" applyFont="1" applyFill="1" applyBorder="1"/>
    <xf numFmtId="0" fontId="20" fillId="0" borderId="0" xfId="0" applyFont="1" applyAlignment="1">
      <alignment horizontal="right"/>
    </xf>
    <xf numFmtId="0" fontId="3" fillId="9" borderId="0" xfId="0" applyFont="1" applyFill="1"/>
    <xf numFmtId="0" fontId="3" fillId="9" borderId="1" xfId="0" applyFont="1" applyFill="1" applyBorder="1"/>
    <xf numFmtId="0" fontId="20" fillId="0" borderId="0" xfId="0" applyFont="1"/>
    <xf numFmtId="0" fontId="19" fillId="0" borderId="0" xfId="0" applyFont="1"/>
    <xf numFmtId="0" fontId="19" fillId="10" borderId="0" xfId="0" applyFont="1" applyFill="1"/>
    <xf numFmtId="0" fontId="5" fillId="11" borderId="0" xfId="0" applyFont="1" applyFill="1"/>
    <xf numFmtId="164" fontId="19" fillId="12" borderId="0" xfId="0" applyNumberFormat="1" applyFont="1" applyFill="1"/>
    <xf numFmtId="0" fontId="19" fillId="12" borderId="0" xfId="0" applyFont="1" applyFill="1"/>
    <xf numFmtId="0" fontId="21" fillId="0" borderId="0" xfId="0" applyFont="1"/>
    <xf numFmtId="0" fontId="18" fillId="0" borderId="0" xfId="0" applyFont="1"/>
    <xf numFmtId="172" fontId="3" fillId="9" borderId="1" xfId="0" applyNumberFormat="1" applyFont="1" applyFill="1" applyBorder="1"/>
    <xf numFmtId="0" fontId="19" fillId="11" borderId="0" xfId="0" applyFont="1" applyFill="1"/>
    <xf numFmtId="171" fontId="3" fillId="9" borderId="0" xfId="0" applyNumberFormat="1" applyFont="1" applyFill="1"/>
    <xf numFmtId="2" fontId="19" fillId="12" borderId="0" xfId="0" applyNumberFormat="1" applyFont="1" applyFill="1"/>
    <xf numFmtId="171" fontId="19" fillId="10" borderId="0" xfId="0" applyNumberFormat="1" applyFont="1" applyFill="1"/>
    <xf numFmtId="3" fontId="19" fillId="12" borderId="0" xfId="0" applyNumberFormat="1" applyFont="1" applyFill="1"/>
    <xf numFmtId="9" fontId="19" fillId="10" borderId="0" xfId="0" applyNumberFormat="1" applyFont="1" applyFill="1"/>
    <xf numFmtId="171" fontId="18" fillId="10" borderId="0" xfId="0" applyNumberFormat="1" applyFont="1" applyFill="1"/>
    <xf numFmtId="171" fontId="19" fillId="12" borderId="0" xfId="0" applyNumberFormat="1" applyFont="1" applyFill="1"/>
    <xf numFmtId="0" fontId="18" fillId="13" borderId="0" xfId="0" applyFont="1" applyFill="1"/>
    <xf numFmtId="0" fontId="7" fillId="0" borderId="0" xfId="0" applyFont="1"/>
    <xf numFmtId="0" fontId="4" fillId="0" borderId="0" xfId="0" quotePrefix="1" applyFont="1"/>
    <xf numFmtId="0" fontId="5" fillId="14" borderId="1" xfId="0" applyFont="1" applyFill="1" applyBorder="1" applyAlignment="1">
      <alignment horizontal="center" vertical="center" wrapText="1"/>
    </xf>
    <xf numFmtId="0" fontId="22" fillId="0" borderId="0" xfId="0" applyFont="1"/>
    <xf numFmtId="172" fontId="22" fillId="15" borderId="0" xfId="0" applyNumberFormat="1" applyFont="1" applyFill="1"/>
    <xf numFmtId="9" fontId="22" fillId="15" borderId="0" xfId="0" applyNumberFormat="1" applyFont="1" applyFill="1"/>
    <xf numFmtId="0" fontId="22" fillId="15" borderId="0" xfId="0" applyFont="1" applyFill="1"/>
    <xf numFmtId="173" fontId="22" fillId="15" borderId="0" xfId="0" applyNumberFormat="1" applyFont="1" applyFill="1"/>
    <xf numFmtId="0" fontId="20" fillId="0" borderId="1" xfId="0" applyFont="1" applyBorder="1"/>
    <xf numFmtId="0" fontId="5" fillId="14" borderId="0" xfId="0" applyFont="1" applyFill="1"/>
    <xf numFmtId="164" fontId="22" fillId="16" borderId="0" xfId="0" applyNumberFormat="1" applyFont="1" applyFill="1"/>
    <xf numFmtId="0" fontId="22" fillId="16" borderId="0" xfId="0" applyFont="1" applyFill="1"/>
    <xf numFmtId="173" fontId="22" fillId="0" borderId="0" xfId="0" applyNumberFormat="1" applyFont="1"/>
    <xf numFmtId="0" fontId="4" fillId="0" borderId="1" xfId="0" quotePrefix="1" applyFont="1" applyBorder="1"/>
    <xf numFmtId="0" fontId="7" fillId="5" borderId="1" xfId="1" applyNumberFormat="1" applyFont="1" applyFill="1" applyBorder="1"/>
    <xf numFmtId="0" fontId="1" fillId="0" borderId="0" xfId="0" applyFont="1" applyAlignment="1">
      <alignment horizontal="left" vertical="center"/>
    </xf>
    <xf numFmtId="0" fontId="0" fillId="0" borderId="0" xfId="0"/>
    <xf numFmtId="0" fontId="4" fillId="0" borderId="0" xfId="0" applyFont="1"/>
    <xf numFmtId="0" fontId="20" fillId="0" borderId="0" xfId="0" applyFont="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refinitivshim.rtdserver.rdp.data">
      <tp>
        <v>2.7900726381718601</v>
        <stp/>
        <stp>8</stp>
        <stp>29298390</stp>
        <tr r="D35" s="1"/>
      </tp>
    </main>
    <main first="refinitivshim.rtdserver.tr">
      <tp t="s">
        <v>Alphabet Inc</v>
        <stp/>
        <stp>7</stp>
        <stp>29298375</stp>
        <tr r="A5" s="5"/>
      </tp>
    </main>
  </volType>
</volType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volatileDependencies" Target="volatileDependenci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6.xml.rels><?xml version="1.0" encoding="UTF-8" standalone="yes"?>
<Relationships xmlns="http://schemas.openxmlformats.org/package/2006/relationships"><Relationship Id="rId2" Type="http://schemas.openxmlformats.org/officeDocument/2006/relationships/customProperty" Target="../customProperty3.bin"/><Relationship Id="rId1" Type="http://schemas.openxmlformats.org/officeDocument/2006/relationships/customProperty" Target="../customProperty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783EB5-A668-40DC-B927-2C01FC9AC490}">
  <dimension ref="A1:DT1"/>
  <sheetViews>
    <sheetView workbookViewId="0"/>
  </sheetViews>
  <sheetFormatPr defaultRowHeight="15" x14ac:dyDescent="0.25"/>
  <sheetData>
    <row r="1" spans="1:124" x14ac:dyDescent="0.25">
      <c r="A1">
        <v>124</v>
      </c>
      <c r="B1" t="s">
        <v>485</v>
      </c>
      <c r="C1" t="s">
        <v>474</v>
      </c>
      <c r="D1" t="s">
        <v>486</v>
      </c>
      <c r="E1" t="s">
        <v>487</v>
      </c>
      <c r="F1" t="s">
        <v>488</v>
      </c>
      <c r="G1" t="s">
        <v>489</v>
      </c>
      <c r="H1" t="s">
        <v>475</v>
      </c>
      <c r="I1" t="s">
        <v>476</v>
      </c>
      <c r="J1" t="s">
        <v>477</v>
      </c>
      <c r="K1" t="s">
        <v>490</v>
      </c>
      <c r="L1" t="s">
        <v>491</v>
      </c>
      <c r="M1" t="s">
        <v>492</v>
      </c>
      <c r="N1" t="s">
        <v>493</v>
      </c>
      <c r="O1" t="s">
        <v>494</v>
      </c>
      <c r="P1" t="s">
        <v>495</v>
      </c>
      <c r="Q1" t="s">
        <v>496</v>
      </c>
      <c r="R1" t="s">
        <v>497</v>
      </c>
      <c r="S1" t="s">
        <v>498</v>
      </c>
      <c r="T1" t="s">
        <v>499</v>
      </c>
      <c r="U1" t="s">
        <v>500</v>
      </c>
      <c r="V1" t="s">
        <v>501</v>
      </c>
      <c r="W1" t="s">
        <v>502</v>
      </c>
      <c r="X1" t="s">
        <v>503</v>
      </c>
      <c r="Y1" t="s">
        <v>504</v>
      </c>
      <c r="Z1" t="s">
        <v>505</v>
      </c>
      <c r="AA1" t="s">
        <v>506</v>
      </c>
      <c r="AB1" t="s">
        <v>507</v>
      </c>
      <c r="AC1" t="s">
        <v>508</v>
      </c>
      <c r="AD1" t="s">
        <v>509</v>
      </c>
      <c r="AE1" t="s">
        <v>510</v>
      </c>
      <c r="AF1" t="s">
        <v>511</v>
      </c>
      <c r="AG1" t="s">
        <v>512</v>
      </c>
      <c r="AH1" t="s">
        <v>513</v>
      </c>
      <c r="AI1" t="s">
        <v>514</v>
      </c>
      <c r="AJ1" t="s">
        <v>515</v>
      </c>
      <c r="AK1" t="s">
        <v>516</v>
      </c>
      <c r="AL1" t="s">
        <v>517</v>
      </c>
      <c r="AM1" t="s">
        <v>518</v>
      </c>
      <c r="AN1" t="s">
        <v>519</v>
      </c>
      <c r="AO1" t="s">
        <v>520</v>
      </c>
      <c r="AP1" t="s">
        <v>521</v>
      </c>
      <c r="AQ1" t="s">
        <v>522</v>
      </c>
      <c r="AR1" t="s">
        <v>523</v>
      </c>
      <c r="AS1" t="s">
        <v>524</v>
      </c>
      <c r="AT1" t="s">
        <v>525</v>
      </c>
      <c r="AU1" t="s">
        <v>526</v>
      </c>
      <c r="AV1" t="s">
        <v>527</v>
      </c>
      <c r="AW1" t="s">
        <v>528</v>
      </c>
      <c r="AX1" t="s">
        <v>529</v>
      </c>
      <c r="AY1" t="s">
        <v>530</v>
      </c>
      <c r="AZ1" t="s">
        <v>531</v>
      </c>
      <c r="BA1" t="s">
        <v>532</v>
      </c>
      <c r="BB1" t="s">
        <v>533</v>
      </c>
      <c r="BC1" t="s">
        <v>534</v>
      </c>
      <c r="BD1" t="s">
        <v>535</v>
      </c>
      <c r="BE1" t="s">
        <v>536</v>
      </c>
      <c r="BF1" t="s">
        <v>537</v>
      </c>
      <c r="BG1" t="s">
        <v>538</v>
      </c>
      <c r="BH1" t="s">
        <v>539</v>
      </c>
      <c r="BI1" t="s">
        <v>540</v>
      </c>
      <c r="BJ1" t="s">
        <v>541</v>
      </c>
      <c r="BK1" t="s">
        <v>542</v>
      </c>
      <c r="BL1" t="s">
        <v>543</v>
      </c>
      <c r="BM1" t="s">
        <v>544</v>
      </c>
      <c r="BN1" t="s">
        <v>545</v>
      </c>
      <c r="BO1" t="s">
        <v>546</v>
      </c>
      <c r="BP1" t="s">
        <v>547</v>
      </c>
      <c r="BQ1" t="s">
        <v>548</v>
      </c>
      <c r="BR1" t="s">
        <v>549</v>
      </c>
      <c r="BS1" t="s">
        <v>550</v>
      </c>
      <c r="BT1" t="s">
        <v>551</v>
      </c>
      <c r="BU1" t="s">
        <v>552</v>
      </c>
      <c r="BV1" t="s">
        <v>553</v>
      </c>
      <c r="BW1" t="s">
        <v>554</v>
      </c>
      <c r="BX1" t="s">
        <v>555</v>
      </c>
      <c r="BY1" t="s">
        <v>556</v>
      </c>
      <c r="BZ1" t="s">
        <v>557</v>
      </c>
      <c r="CA1" t="s">
        <v>558</v>
      </c>
      <c r="CB1" t="s">
        <v>559</v>
      </c>
      <c r="CC1" t="s">
        <v>560</v>
      </c>
      <c r="CD1" t="s">
        <v>561</v>
      </c>
      <c r="CE1" t="s">
        <v>562</v>
      </c>
      <c r="CF1" t="s">
        <v>563</v>
      </c>
      <c r="CG1" t="s">
        <v>564</v>
      </c>
      <c r="CH1" t="s">
        <v>565</v>
      </c>
      <c r="CI1" t="s">
        <v>566</v>
      </c>
      <c r="CJ1" t="s">
        <v>567</v>
      </c>
      <c r="CK1" t="s">
        <v>568</v>
      </c>
      <c r="CL1" t="s">
        <v>569</v>
      </c>
      <c r="CM1" t="s">
        <v>570</v>
      </c>
      <c r="CN1" t="s">
        <v>571</v>
      </c>
      <c r="CO1" t="s">
        <v>572</v>
      </c>
      <c r="CP1" t="s">
        <v>573</v>
      </c>
      <c r="CQ1" t="s">
        <v>574</v>
      </c>
      <c r="CR1" t="s">
        <v>575</v>
      </c>
      <c r="CS1" t="s">
        <v>576</v>
      </c>
      <c r="CT1" t="s">
        <v>577</v>
      </c>
      <c r="CU1" t="s">
        <v>578</v>
      </c>
      <c r="CV1" t="s">
        <v>579</v>
      </c>
      <c r="CW1" t="s">
        <v>580</v>
      </c>
      <c r="CX1" t="s">
        <v>581</v>
      </c>
      <c r="CY1" t="s">
        <v>582</v>
      </c>
      <c r="CZ1" t="s">
        <v>583</v>
      </c>
      <c r="DA1" t="s">
        <v>584</v>
      </c>
      <c r="DB1" t="s">
        <v>585</v>
      </c>
      <c r="DC1" t="s">
        <v>586</v>
      </c>
      <c r="DD1" t="s">
        <v>587</v>
      </c>
      <c r="DE1" t="s">
        <v>588</v>
      </c>
      <c r="DF1" t="s">
        <v>589</v>
      </c>
      <c r="DG1" t="s">
        <v>590</v>
      </c>
      <c r="DH1" t="s">
        <v>591</v>
      </c>
      <c r="DI1" t="s">
        <v>592</v>
      </c>
      <c r="DJ1" t="s">
        <v>593</v>
      </c>
      <c r="DK1" t="s">
        <v>594</v>
      </c>
      <c r="DL1" t="s">
        <v>595</v>
      </c>
      <c r="DM1" t="s">
        <v>596</v>
      </c>
      <c r="DN1" t="s">
        <v>597</v>
      </c>
      <c r="DO1" t="s">
        <v>598</v>
      </c>
      <c r="DP1" t="s">
        <v>599</v>
      </c>
      <c r="DQ1" t="s">
        <v>600</v>
      </c>
      <c r="DR1" t="s">
        <v>601</v>
      </c>
      <c r="DS1" t="s">
        <v>602</v>
      </c>
      <c r="DT1" t="s">
        <v>603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1"/>
  <sheetViews>
    <sheetView zoomScale="70" zoomScaleNormal="70" workbookViewId="0">
      <pane ySplit="6" topLeftCell="A19" activePane="bottomLeft" state="frozen"/>
      <selection pane="bottomLeft" activeCell="A4" sqref="A4:F4"/>
    </sheetView>
  </sheetViews>
  <sheetFormatPr defaultRowHeight="15" x14ac:dyDescent="0.25"/>
  <cols>
    <col min="1" max="1" width="15" customWidth="1"/>
    <col min="2" max="2" width="20" customWidth="1"/>
    <col min="3" max="3" width="26" customWidth="1"/>
    <col min="4" max="4" width="67.85546875" bestFit="1" customWidth="1"/>
    <col min="5" max="5" width="26" customWidth="1"/>
    <col min="6" max="6" width="12" customWidth="1"/>
  </cols>
  <sheetData>
    <row r="1" spans="1:6" ht="24" customHeight="1" x14ac:dyDescent="0.25">
      <c r="A1" s="87" t="s">
        <v>8</v>
      </c>
      <c r="B1" s="88"/>
      <c r="C1" s="88"/>
      <c r="D1" s="88"/>
      <c r="E1" s="88"/>
      <c r="F1" s="88"/>
    </row>
    <row r="2" spans="1:6" ht="24" customHeight="1" x14ac:dyDescent="0.25">
      <c r="A2" s="39"/>
      <c r="B2" t="s">
        <v>9</v>
      </c>
      <c r="C2" t="s">
        <v>10</v>
      </c>
      <c r="D2" s="51" t="s">
        <v>11</v>
      </c>
      <c r="E2" s="52"/>
    </row>
    <row r="3" spans="1:6" x14ac:dyDescent="0.25">
      <c r="A3" s="1" t="s">
        <v>12</v>
      </c>
      <c r="B3" s="53" t="str">
        <f>IF($E$2&lt;&gt;"",$E$2,C3&amp;_RICMap!$E$1)</f>
        <v>meta.O</v>
      </c>
      <c r="C3" s="40" t="s">
        <v>478</v>
      </c>
    </row>
    <row r="4" spans="1:6" x14ac:dyDescent="0.25">
      <c r="A4" s="89" t="s">
        <v>13</v>
      </c>
      <c r="B4" s="88"/>
      <c r="C4" s="88"/>
      <c r="D4" s="88"/>
      <c r="E4" s="88"/>
      <c r="F4" s="88"/>
    </row>
    <row r="6" spans="1:6" ht="26.1" customHeight="1" x14ac:dyDescent="0.25">
      <c r="A6" s="2" t="s">
        <v>14</v>
      </c>
      <c r="B6" s="2" t="s">
        <v>15</v>
      </c>
      <c r="C6" s="2" t="s">
        <v>16</v>
      </c>
      <c r="D6" s="41" t="s">
        <v>432</v>
      </c>
      <c r="E6" s="2" t="s">
        <v>17</v>
      </c>
      <c r="F6" s="2" t="s">
        <v>18</v>
      </c>
    </row>
    <row r="7" spans="1:6" x14ac:dyDescent="0.25">
      <c r="A7" s="3" t="s">
        <v>19</v>
      </c>
      <c r="B7" s="4" t="s">
        <v>20</v>
      </c>
      <c r="C7" s="5" t="s">
        <v>21</v>
      </c>
      <c r="D7" s="6" t="str">
        <f>_xll.ciqfunctions.udf.CIQ(C3, "IQ_COMPANY_NAME")</f>
        <v>Meta Platforms, Inc.</v>
      </c>
      <c r="E7" s="7" t="s">
        <v>22</v>
      </c>
      <c r="F7" s="8" t="s">
        <v>23</v>
      </c>
    </row>
    <row r="8" spans="1:6" x14ac:dyDescent="0.25">
      <c r="A8" s="9"/>
      <c r="B8" s="4" t="s">
        <v>24</v>
      </c>
      <c r="C8" s="5" t="s">
        <v>25</v>
      </c>
      <c r="D8" s="10" t="str">
        <f>$C$3</f>
        <v>meta</v>
      </c>
      <c r="E8" s="7"/>
      <c r="F8" s="8" t="s">
        <v>23</v>
      </c>
    </row>
    <row r="9" spans="1:6" x14ac:dyDescent="0.25">
      <c r="A9" s="9"/>
      <c r="B9" s="4" t="s">
        <v>26</v>
      </c>
      <c r="C9" s="5" t="s">
        <v>27</v>
      </c>
      <c r="D9" s="6" t="str">
        <f>_xll.ciqfunctions.udf.CIQ(C3, "IQ_EXCHANGE")</f>
        <v>NasdaqGS</v>
      </c>
      <c r="E9" s="7" t="s">
        <v>28</v>
      </c>
      <c r="F9" s="11" t="s">
        <v>29</v>
      </c>
    </row>
    <row r="10" spans="1:6" x14ac:dyDescent="0.25">
      <c r="A10" s="9"/>
      <c r="B10" s="4" t="s">
        <v>30</v>
      </c>
      <c r="C10" s="5" t="s">
        <v>31</v>
      </c>
      <c r="D10" s="6" t="str">
        <f>_xll.ciqfunctions.udf.CIQ(C3, "IQ_INDUSTRY_SECTOR")</f>
        <v>Communication Services</v>
      </c>
      <c r="E10" s="7" t="s">
        <v>32</v>
      </c>
      <c r="F10" s="11" t="s">
        <v>29</v>
      </c>
    </row>
    <row r="11" spans="1:6" x14ac:dyDescent="0.25">
      <c r="A11" s="9"/>
      <c r="B11" s="4" t="s">
        <v>33</v>
      </c>
      <c r="C11" s="5" t="s">
        <v>34</v>
      </c>
      <c r="D11" s="6" t="str">
        <f>_xll.ciqfunctions.udf.CIQ(C3, "IQ_PRIMARY_INDUSTRY")</f>
        <v>Interactive Media and Services</v>
      </c>
      <c r="E11" s="7" t="s">
        <v>35</v>
      </c>
      <c r="F11" s="12" t="s">
        <v>36</v>
      </c>
    </row>
    <row r="12" spans="1:6" x14ac:dyDescent="0.25">
      <c r="A12" s="9"/>
      <c r="B12" s="4" t="s">
        <v>37</v>
      </c>
      <c r="C12" s="5" t="s">
        <v>38</v>
      </c>
      <c r="D12" s="6" t="str">
        <f>_xll.ciqfunctions.udf.CIQ(C3,"IQ_COMPANY_ADDRESS")</f>
        <v>1 Meta Way, Menlo Park, California, 94025, United States</v>
      </c>
      <c r="E12" s="7" t="s">
        <v>39</v>
      </c>
      <c r="F12" s="12" t="s">
        <v>36</v>
      </c>
    </row>
    <row r="13" spans="1:6" x14ac:dyDescent="0.25">
      <c r="A13" s="9"/>
      <c r="B13" s="4" t="s">
        <v>40</v>
      </c>
      <c r="C13" s="5" t="s">
        <v>41</v>
      </c>
      <c r="D13" s="6" t="str">
        <f>_xll.ciqfunctions.udf.CIQ(C3, "IQ_FILING_CURRENCY_CS")</f>
        <v>USD</v>
      </c>
      <c r="E13" s="7" t="s">
        <v>42</v>
      </c>
      <c r="F13" s="11" t="s">
        <v>29</v>
      </c>
    </row>
    <row r="14" spans="1:6" x14ac:dyDescent="0.25">
      <c r="A14" s="9"/>
      <c r="B14" s="4" t="s">
        <v>43</v>
      </c>
      <c r="C14" s="5" t="s">
        <v>44</v>
      </c>
      <c r="D14" s="13">
        <f ca="1">TODAY()</f>
        <v>46220</v>
      </c>
      <c r="E14" s="7"/>
      <c r="F14" s="8" t="s">
        <v>23</v>
      </c>
    </row>
    <row r="15" spans="1:6" x14ac:dyDescent="0.25">
      <c r="A15" s="3" t="s">
        <v>45</v>
      </c>
      <c r="B15" s="4" t="s">
        <v>46</v>
      </c>
      <c r="C15" s="5" t="s">
        <v>47</v>
      </c>
      <c r="D15" s="14">
        <f ca="1">_xll.ciqfunctions.udf.CIQ(C3, "IQ_CLOSEPRICE", D14)</f>
        <v>664.54</v>
      </c>
      <c r="E15" s="7" t="s">
        <v>48</v>
      </c>
      <c r="F15" s="8" t="s">
        <v>23</v>
      </c>
    </row>
    <row r="16" spans="1:6" x14ac:dyDescent="0.25">
      <c r="A16" s="9"/>
      <c r="B16" s="4" t="s">
        <v>49</v>
      </c>
      <c r="C16" s="5" t="s">
        <v>50</v>
      </c>
      <c r="D16" s="15">
        <f ca="1">_xll.ciqfunctions.udf.CIQ(C3, "IQ_MARKETCAP", D14)</f>
        <v>1686883.82244</v>
      </c>
      <c r="E16" s="7" t="s">
        <v>51</v>
      </c>
      <c r="F16" s="8" t="s">
        <v>23</v>
      </c>
    </row>
    <row r="17" spans="1:6" x14ac:dyDescent="0.25">
      <c r="A17" s="9"/>
      <c r="B17" s="4" t="s">
        <v>52</v>
      </c>
      <c r="C17" s="5" t="s">
        <v>53</v>
      </c>
      <c r="D17" s="15">
        <f ca="1">_xll.ciqfunctions.udf.CIQ(C3, "IQ_TEV", D14)</f>
        <v>1692472.82244</v>
      </c>
      <c r="E17" s="7" t="s">
        <v>54</v>
      </c>
      <c r="F17" s="11" t="s">
        <v>29</v>
      </c>
    </row>
    <row r="18" spans="1:6" x14ac:dyDescent="0.25">
      <c r="A18" s="9"/>
      <c r="B18" s="4" t="s">
        <v>55</v>
      </c>
      <c r="C18" s="5" t="s">
        <v>56</v>
      </c>
      <c r="D18" s="16">
        <f ca="1">_xll.ciqfunctions.udf.CIQ(C3, "IQ_TOTAL_OUTSTANDING_BS_DATE_CS", , D14)</f>
        <v>2538</v>
      </c>
      <c r="E18" s="7" t="s">
        <v>57</v>
      </c>
      <c r="F18" s="8" t="s">
        <v>23</v>
      </c>
    </row>
    <row r="19" spans="1:6" x14ac:dyDescent="0.25">
      <c r="A19" s="9"/>
      <c r="B19" s="42" t="s">
        <v>58</v>
      </c>
      <c r="C19" s="43" t="s">
        <v>59</v>
      </c>
      <c r="D19" s="16">
        <f ca="1">_xll.ciqfunctions.udf.CIQ(C3, "IQ_SHARESOUTSTANDING_OUT", , D14)</f>
        <v>2538.4232999999999</v>
      </c>
      <c r="E19" s="7"/>
      <c r="F19" s="8"/>
    </row>
    <row r="20" spans="1:6" x14ac:dyDescent="0.25">
      <c r="A20" s="9"/>
      <c r="B20" s="4" t="s">
        <v>60</v>
      </c>
      <c r="C20" s="5" t="s">
        <v>61</v>
      </c>
      <c r="D20" s="16">
        <f>_xll.ciqfunctions.udf.CIQAVG(C3, "IQ_VOLUME", "-3M")</f>
        <v>17.922509999999999</v>
      </c>
      <c r="E20" s="7" t="s">
        <v>62</v>
      </c>
      <c r="F20" s="12" t="s">
        <v>36</v>
      </c>
    </row>
    <row r="21" spans="1:6" x14ac:dyDescent="0.25">
      <c r="A21" s="9"/>
      <c r="B21" s="4" t="s">
        <v>63</v>
      </c>
      <c r="C21" s="5" t="s">
        <v>64</v>
      </c>
      <c r="D21" s="17">
        <f ca="1">_xll.ciqfunctions.udf.CIQ(C3, "IQ_BETA_5YR", D14)</f>
        <v>1.2456700000000001</v>
      </c>
      <c r="E21" s="7" t="s">
        <v>65</v>
      </c>
      <c r="F21" s="12" t="s">
        <v>36</v>
      </c>
    </row>
    <row r="22" spans="1:6" x14ac:dyDescent="0.25">
      <c r="A22" s="9"/>
      <c r="B22" s="4" t="s">
        <v>66</v>
      </c>
      <c r="C22" s="5" t="s">
        <v>67</v>
      </c>
      <c r="D22" s="14">
        <f ca="1">_xll.ciqfunctions.udf.CIQ(C3, "IQ_YEARHIGH", D14)</f>
        <v>796.25</v>
      </c>
      <c r="E22" s="7" t="s">
        <v>68</v>
      </c>
      <c r="F22" s="11" t="s">
        <v>29</v>
      </c>
    </row>
    <row r="23" spans="1:6" x14ac:dyDescent="0.25">
      <c r="A23" s="9"/>
      <c r="B23" s="4" t="s">
        <v>69</v>
      </c>
      <c r="C23" s="5" t="s">
        <v>70</v>
      </c>
      <c r="D23" s="14">
        <f ca="1">_xll.ciqfunctions.udf.CIQ(C3, "IQ_YEARLOW", D14)</f>
        <v>520.26</v>
      </c>
      <c r="E23" s="7" t="s">
        <v>71</v>
      </c>
      <c r="F23" s="11" t="s">
        <v>29</v>
      </c>
    </row>
    <row r="24" spans="1:6" x14ac:dyDescent="0.25">
      <c r="A24" s="9"/>
      <c r="B24" s="4" t="s">
        <v>72</v>
      </c>
      <c r="C24" s="5" t="s">
        <v>73</v>
      </c>
      <c r="D24" s="45">
        <f ca="1">D22/D15-1</f>
        <v>0.1981972492250279</v>
      </c>
      <c r="E24" s="7" t="s">
        <v>74</v>
      </c>
      <c r="F24" s="11" t="s">
        <v>29</v>
      </c>
    </row>
    <row r="25" spans="1:6" x14ac:dyDescent="0.25">
      <c r="A25" s="3" t="s">
        <v>75</v>
      </c>
      <c r="B25" s="4" t="s">
        <v>76</v>
      </c>
      <c r="C25" s="5" t="s">
        <v>77</v>
      </c>
      <c r="D25" s="19">
        <f>_xll.ciqfunctions.udf.CIQ(C3, "IQ_PE_EXCL", IQ_LTM)</f>
        <v>24.174859999999999</v>
      </c>
      <c r="E25" s="7" t="s">
        <v>78</v>
      </c>
      <c r="F25" s="8" t="s">
        <v>23</v>
      </c>
    </row>
    <row r="26" spans="1:6" x14ac:dyDescent="0.25">
      <c r="A26" s="9"/>
      <c r="B26" s="4" t="s">
        <v>79</v>
      </c>
      <c r="C26" s="5" t="s">
        <v>80</v>
      </c>
      <c r="D26" s="19">
        <f>_xll.ciqfunctions.udf.CIQ(C3, "IQ_PE_EXCL_FWD_CIQ", IQ_NTM)</f>
        <v>20.322320000000001</v>
      </c>
      <c r="E26" s="7">
        <f>_xll.ciqfunctions.udf.CIQ(C3, "IQ_PE_EXCL_FWD_CIQ", IQ_CY)</f>
        <v>0</v>
      </c>
      <c r="F26" s="11" t="s">
        <v>29</v>
      </c>
    </row>
    <row r="27" spans="1:6" x14ac:dyDescent="0.25">
      <c r="A27" s="9"/>
      <c r="B27" s="4" t="s">
        <v>81</v>
      </c>
      <c r="C27" s="5" t="s">
        <v>82</v>
      </c>
      <c r="D27" s="19">
        <f>_xll.ciqfunctions.udf.CIQ(C3, "IQ_PRICE_SALES", IQ_LTM)</f>
        <v>7.79887</v>
      </c>
      <c r="E27" s="7" t="s">
        <v>83</v>
      </c>
      <c r="F27" s="8" t="s">
        <v>23</v>
      </c>
    </row>
    <row r="28" spans="1:6" x14ac:dyDescent="0.25">
      <c r="A28" s="9"/>
      <c r="B28" s="4" t="s">
        <v>84</v>
      </c>
      <c r="C28" s="5" t="s">
        <v>85</v>
      </c>
      <c r="D28" s="19">
        <f ca="1">_xll.ciqfunctions.udf.CIQ(C3, "IQ_TEV_EBITDA", , D14)</f>
        <v>14.919740000000001</v>
      </c>
      <c r="E28" s="7" t="s">
        <v>86</v>
      </c>
      <c r="F28" s="8" t="s">
        <v>23</v>
      </c>
    </row>
    <row r="29" spans="1:6" x14ac:dyDescent="0.25">
      <c r="A29" s="9"/>
      <c r="B29" s="4" t="s">
        <v>87</v>
      </c>
      <c r="C29" s="5" t="s">
        <v>88</v>
      </c>
      <c r="D29" s="19">
        <f ca="1">_xll.ciqfunctions.udf.CIQ(C3, "IQ_TEV_TOTAL_REV", , D14)</f>
        <v>7.8733199999999997</v>
      </c>
      <c r="E29" s="7" t="s">
        <v>89</v>
      </c>
      <c r="F29" s="11" t="s">
        <v>29</v>
      </c>
    </row>
    <row r="30" spans="1:6" x14ac:dyDescent="0.25">
      <c r="A30" s="9"/>
      <c r="B30" s="4" t="s">
        <v>90</v>
      </c>
      <c r="C30" s="5" t="s">
        <v>91</v>
      </c>
      <c r="D30" s="19">
        <f ca="1">_xlfn.SINGLE(_xll.ciqfunctions.udf.CIQ(C3, "IQ_TEV", , D14)) / (_xlfn.SINGLE(_xll.ciqfunctions.udf.CIQ(C3, "IQ_CASH_OPER", , D14)) + _xlfn.SINGLE(_xll.ciqfunctions.udf.CIQ(C3, "IQ_CAPEX", , D14)))</f>
        <v>35.074976114231241</v>
      </c>
      <c r="E30" s="7" t="s">
        <v>92</v>
      </c>
      <c r="F30" s="11" t="s">
        <v>29</v>
      </c>
    </row>
    <row r="31" spans="1:6" x14ac:dyDescent="0.25">
      <c r="A31" s="9"/>
      <c r="B31" s="4" t="s">
        <v>93</v>
      </c>
      <c r="C31" s="5" t="s">
        <v>94</v>
      </c>
      <c r="D31" s="19">
        <f ca="1">_xll.ciqfunctions.udf.CIQ(C3, "IQ_PBV", , D14)</f>
        <v>6.9213500000000003</v>
      </c>
      <c r="E31" s="7" t="s">
        <v>95</v>
      </c>
      <c r="F31" s="11" t="s">
        <v>29</v>
      </c>
    </row>
    <row r="32" spans="1:6" x14ac:dyDescent="0.25">
      <c r="A32" s="9"/>
      <c r="B32" s="4" t="s">
        <v>96</v>
      </c>
      <c r="C32" s="5" t="s">
        <v>97</v>
      </c>
      <c r="D32" s="44">
        <f ca="1">_xlfn.SINGLE(_xll.ciqfunctions.udf.CIQ(C3, "IQ_MARKETCAP", , D14)) / (_xlfn.SINGLE(_xll.ciqfunctions.udf.CIQ(C3, "IQ_CASH_OPER", , D14)) + _xlfn.SINGLE(_xll.ciqfunctions.udf.CIQ(C3, "IQ_CAPEX", , D14)))</f>
        <v>34.959149119018505</v>
      </c>
      <c r="E32" s="7" t="s">
        <v>98</v>
      </c>
      <c r="F32" s="11" t="s">
        <v>29</v>
      </c>
    </row>
    <row r="33" spans="1:6" x14ac:dyDescent="0.25">
      <c r="A33" s="9"/>
      <c r="B33" s="4" t="s">
        <v>99</v>
      </c>
      <c r="C33" s="5" t="s">
        <v>100</v>
      </c>
      <c r="D33" s="17">
        <f>_xll.ciqfunctions.udf.CIQ(C3, "IQ_PEG_FWD", IQ_NTM)</f>
        <v>0.98136000000000001</v>
      </c>
      <c r="E33" s="7" t="s">
        <v>101</v>
      </c>
      <c r="F33" s="12" t="s">
        <v>36</v>
      </c>
    </row>
    <row r="34" spans="1:6" x14ac:dyDescent="0.25">
      <c r="A34" s="9"/>
      <c r="B34" s="4" t="s">
        <v>102</v>
      </c>
      <c r="C34" s="5" t="s">
        <v>103</v>
      </c>
      <c r="D34" s="45">
        <f>1/D25</f>
        <v>4.1365286086455101E-2</v>
      </c>
      <c r="E34" s="7" t="s">
        <v>74</v>
      </c>
      <c r="F34" s="11" t="s">
        <v>29</v>
      </c>
    </row>
    <row r="35" spans="1:6" x14ac:dyDescent="0.25">
      <c r="A35" s="9"/>
      <c r="B35" s="4" t="s">
        <v>104</v>
      </c>
      <c r="C35" s="5" t="s">
        <v>105</v>
      </c>
      <c r="D35" s="86">
        <f>_xll.RDP.Data(B3,"TR.FreeOperatingCashFlowExclDividends(Period=LTM,SDate=0D,Curn=USD)/TR.CompanyMarketCap(SDate=0D,Curn=USD)*100/*Free Cash Flow Yield*//*Free Cash Flow Yield*/",,D35)</f>
        <v>2.7900726381718601</v>
      </c>
      <c r="E35" s="80" t="s">
        <v>106</v>
      </c>
      <c r="F35" s="8" t="s">
        <v>23</v>
      </c>
    </row>
    <row r="36" spans="1:6" x14ac:dyDescent="0.25">
      <c r="A36" s="9"/>
      <c r="B36" s="4" t="s">
        <v>107</v>
      </c>
      <c r="C36" s="5" t="s">
        <v>108</v>
      </c>
      <c r="D36" s="48">
        <f ca="1">_xll.ciqfunctions.udf.CIQ(C3, "IQ_DIVIDEND_YIELD", D14) /100</f>
        <v>3.0819999999999997E-3</v>
      </c>
      <c r="E36" s="85"/>
      <c r="F36" s="12" t="s">
        <v>36</v>
      </c>
    </row>
    <row r="37" spans="1:6" x14ac:dyDescent="0.25">
      <c r="A37" s="9"/>
      <c r="B37" s="4" t="s">
        <v>109</v>
      </c>
      <c r="C37" s="5" t="s">
        <v>110</v>
      </c>
      <c r="D37" s="48">
        <f ca="1">-_xll.ciqfunctions.udf.CIQ(C3,"IQ_COMMON_REP",IQ_LTM)/D16</f>
        <v>1.863435974774609E-2</v>
      </c>
      <c r="E37" s="7" t="s">
        <v>111</v>
      </c>
      <c r="F37" s="12" t="s">
        <v>36</v>
      </c>
    </row>
    <row r="38" spans="1:6" x14ac:dyDescent="0.25">
      <c r="A38" s="9"/>
      <c r="B38" s="4" t="s">
        <v>112</v>
      </c>
      <c r="C38" s="5" t="s">
        <v>113</v>
      </c>
      <c r="D38" s="46">
        <f ca="1">D36+D37</f>
        <v>2.1716359747746092E-2</v>
      </c>
      <c r="E38" s="7" t="s">
        <v>74</v>
      </c>
      <c r="F38" s="11" t="s">
        <v>29</v>
      </c>
    </row>
    <row r="39" spans="1:6" x14ac:dyDescent="0.25">
      <c r="A39" s="3" t="s">
        <v>114</v>
      </c>
      <c r="B39" s="4" t="s">
        <v>115</v>
      </c>
      <c r="C39" s="5" t="s">
        <v>116</v>
      </c>
      <c r="D39" s="15">
        <f ca="1">_xll.ciqfunctions.udf.CIQ(C3, "IQ_CASH_ST_INVEST", , D14)</f>
        <v>81180</v>
      </c>
      <c r="E39" s="7" t="s">
        <v>117</v>
      </c>
      <c r="F39" s="8" t="s">
        <v>23</v>
      </c>
    </row>
    <row r="40" spans="1:6" x14ac:dyDescent="0.25">
      <c r="A40" s="9"/>
      <c r="B40" s="4" t="s">
        <v>118</v>
      </c>
      <c r="C40" s="5" t="s">
        <v>119</v>
      </c>
      <c r="D40" s="15">
        <f ca="1">_xll.ciqfunctions.udf.CIQ(C3, "IQ_TOTAL_DEBT", , D14)</f>
        <v>86769</v>
      </c>
      <c r="E40" s="7" t="s">
        <v>120</v>
      </c>
      <c r="F40" s="8" t="s">
        <v>23</v>
      </c>
    </row>
    <row r="41" spans="1:6" x14ac:dyDescent="0.25">
      <c r="A41" s="9"/>
      <c r="B41" s="4" t="s">
        <v>121</v>
      </c>
      <c r="C41" s="5" t="s">
        <v>122</v>
      </c>
      <c r="D41" s="20">
        <f ca="1">D40-D39</f>
        <v>5589</v>
      </c>
      <c r="E41" s="7" t="s">
        <v>74</v>
      </c>
      <c r="F41" s="11" t="s">
        <v>29</v>
      </c>
    </row>
    <row r="42" spans="1:6" x14ac:dyDescent="0.25">
      <c r="A42" s="9"/>
      <c r="B42" s="4" t="s">
        <v>123</v>
      </c>
      <c r="C42" s="5" t="s">
        <v>124</v>
      </c>
      <c r="D42" s="19">
        <f ca="1">D41/_xll.ciqfunctions.udf.CIQ(C3, "IQ_EBITDA", IQ_LTM)</f>
        <v>5.1130749807882313E-2</v>
      </c>
      <c r="E42" s="7" t="s">
        <v>125</v>
      </c>
      <c r="F42" s="11" t="s">
        <v>29</v>
      </c>
    </row>
    <row r="43" spans="1:6" x14ac:dyDescent="0.25">
      <c r="A43" s="9"/>
      <c r="B43" s="4" t="s">
        <v>126</v>
      </c>
      <c r="C43" s="5" t="s">
        <v>127</v>
      </c>
      <c r="D43" s="47">
        <f>_xll.ciqfunctions.udf.CIQ(C3, "IQ_TOTAL_DEBT_EQUITY", IQ_CQ)/100</f>
        <v>0.356076</v>
      </c>
      <c r="E43" s="7" t="s">
        <v>128</v>
      </c>
      <c r="F43" s="11" t="s">
        <v>29</v>
      </c>
    </row>
    <row r="44" spans="1:6" x14ac:dyDescent="0.25">
      <c r="A44" s="9"/>
      <c r="B44" s="4" t="s">
        <v>129</v>
      </c>
      <c r="C44" s="43" t="s">
        <v>130</v>
      </c>
      <c r="D44" s="17">
        <f>_xll.ciqfunctions.udf.CIQ(C3, "IQ_CURRENT_RATIO", IQ_CY)</f>
        <v>2.59877</v>
      </c>
      <c r="E44" s="7" t="s">
        <v>131</v>
      </c>
      <c r="F44" s="12" t="s">
        <v>36</v>
      </c>
    </row>
    <row r="45" spans="1:6" x14ac:dyDescent="0.25">
      <c r="A45" s="9"/>
      <c r="B45" s="4" t="s">
        <v>132</v>
      </c>
      <c r="C45" s="43" t="s">
        <v>133</v>
      </c>
      <c r="D45" s="17">
        <f>_xll.ciqfunctions.udf.CIQ(C3, "IQ_QUICK_RATIO", IQ_CY)</f>
        <v>2.4228200000000002</v>
      </c>
      <c r="E45" s="7" t="s">
        <v>134</v>
      </c>
      <c r="F45" s="12" t="s">
        <v>36</v>
      </c>
    </row>
    <row r="46" spans="1:6" x14ac:dyDescent="0.25">
      <c r="A46" s="9"/>
      <c r="B46" s="4" t="s">
        <v>135</v>
      </c>
      <c r="C46" s="5" t="s">
        <v>136</v>
      </c>
      <c r="D46" s="19">
        <f>_xll.ciqfunctions.udf.CIQ(C3, "IQ_EBIT_INT", IQ_LTM)</f>
        <v>59.57835</v>
      </c>
      <c r="E46" s="7" t="s">
        <v>137</v>
      </c>
      <c r="F46" s="11" t="s">
        <v>29</v>
      </c>
    </row>
    <row r="47" spans="1:6" x14ac:dyDescent="0.25">
      <c r="A47" s="9"/>
      <c r="B47" s="4" t="s">
        <v>138</v>
      </c>
      <c r="C47" s="5" t="s">
        <v>139</v>
      </c>
      <c r="D47" s="15">
        <f>_xll.ciqfunctions.udf.CIQ(C3, "IQ_GW_INTAN", IQ_CQ)</f>
        <v>24748</v>
      </c>
      <c r="E47" s="7" t="s">
        <v>140</v>
      </c>
      <c r="F47" s="12" t="s">
        <v>36</v>
      </c>
    </row>
    <row r="48" spans="1:6" x14ac:dyDescent="0.25">
      <c r="A48" s="9"/>
      <c r="B48" s="4" t="s">
        <v>141</v>
      </c>
      <c r="C48" s="5" t="s">
        <v>142</v>
      </c>
      <c r="D48" s="14">
        <f>_xll.ciqfunctions.udf.CIQ(C3, "IQ_TBV_SHARE", IQ_CQ)</f>
        <v>86.262020000000007</v>
      </c>
      <c r="E48" s="7" t="s">
        <v>143</v>
      </c>
      <c r="F48" s="12" t="s">
        <v>36</v>
      </c>
    </row>
    <row r="49" spans="1:6" x14ac:dyDescent="0.25">
      <c r="A49" s="3" t="s">
        <v>144</v>
      </c>
      <c r="B49" s="4" t="s">
        <v>145</v>
      </c>
      <c r="C49" s="5" t="s">
        <v>146</v>
      </c>
      <c r="D49" s="48">
        <f>_xll.ciqfunctions.udf.CIQ(C3, "IQ_SHORT_INTEREST_OVER_FLOAT")/100</f>
        <v>1.5729E-2</v>
      </c>
      <c r="E49" s="7" t="s">
        <v>147</v>
      </c>
      <c r="F49" s="12" t="s">
        <v>36</v>
      </c>
    </row>
    <row r="50" spans="1:6" x14ac:dyDescent="0.25">
      <c r="A50" s="9"/>
      <c r="B50" s="4" t="s">
        <v>148</v>
      </c>
      <c r="C50" s="5" t="s">
        <v>149</v>
      </c>
      <c r="D50" s="49"/>
      <c r="E50" s="7" t="s">
        <v>150</v>
      </c>
      <c r="F50" s="12" t="s">
        <v>36</v>
      </c>
    </row>
    <row r="51" spans="1:6" x14ac:dyDescent="0.25">
      <c r="A51" s="9"/>
      <c r="B51" s="4" t="s">
        <v>151</v>
      </c>
      <c r="C51" s="5" t="s">
        <v>152</v>
      </c>
      <c r="D51" s="49"/>
      <c r="E51" s="7" t="s">
        <v>153</v>
      </c>
      <c r="F51" s="12" t="s">
        <v>36</v>
      </c>
    </row>
  </sheetData>
  <mergeCells count="2">
    <mergeCell ref="A1:F1"/>
    <mergeCell ref="A4:F4"/>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4"/>
  <sheetViews>
    <sheetView workbookViewId="0">
      <pane xSplit="2" ySplit="4" topLeftCell="C14" activePane="bottomRight" state="frozen"/>
      <selection pane="topRight"/>
      <selection pane="bottomLeft"/>
      <selection pane="bottomRight" activeCell="B15" sqref="B15"/>
    </sheetView>
  </sheetViews>
  <sheetFormatPr defaultRowHeight="15" x14ac:dyDescent="0.25"/>
  <cols>
    <col min="1" max="1" width="17.28515625" bestFit="1" customWidth="1"/>
    <col min="2" max="2" width="22.5703125" bestFit="1" customWidth="1"/>
    <col min="3" max="8" width="52.5703125" bestFit="1" customWidth="1"/>
    <col min="9" max="9" width="21.7109375" bestFit="1" customWidth="1"/>
    <col min="10" max="10" width="28" bestFit="1" customWidth="1"/>
  </cols>
  <sheetData>
    <row r="1" spans="1:10" ht="24" customHeight="1" x14ac:dyDescent="0.25">
      <c r="A1" s="87" t="s">
        <v>154</v>
      </c>
      <c r="B1" s="88"/>
      <c r="C1" s="88"/>
      <c r="D1" s="88"/>
      <c r="E1" s="88"/>
      <c r="F1" s="88"/>
      <c r="G1" s="88"/>
      <c r="H1" s="88"/>
      <c r="I1" s="88"/>
      <c r="J1" s="88"/>
    </row>
    <row r="2" spans="1:10" x14ac:dyDescent="0.25">
      <c r="A2" s="89" t="s">
        <v>155</v>
      </c>
      <c r="B2" s="88"/>
      <c r="C2" s="88"/>
      <c r="D2" s="88"/>
      <c r="E2" s="88"/>
      <c r="F2" s="88"/>
      <c r="G2" s="88"/>
      <c r="H2" s="88"/>
      <c r="I2" s="88"/>
      <c r="J2" s="88"/>
    </row>
    <row r="4" spans="1:10" ht="26.1" customHeight="1" x14ac:dyDescent="0.25">
      <c r="A4" s="2" t="s">
        <v>15</v>
      </c>
      <c r="B4" s="2" t="s">
        <v>16</v>
      </c>
      <c r="C4" s="21" t="s">
        <v>156</v>
      </c>
      <c r="D4" s="21" t="s">
        <v>157</v>
      </c>
      <c r="E4" s="21" t="s">
        <v>158</v>
      </c>
      <c r="F4" s="21" t="s">
        <v>159</v>
      </c>
      <c r="G4" s="21" t="s">
        <v>160</v>
      </c>
      <c r="H4" s="21" t="s">
        <v>161</v>
      </c>
      <c r="I4" s="21" t="s">
        <v>162</v>
      </c>
      <c r="J4" s="2" t="s">
        <v>17</v>
      </c>
    </row>
    <row r="5" spans="1:10" x14ac:dyDescent="0.25">
      <c r="A5" s="4" t="s">
        <v>163</v>
      </c>
      <c r="B5" s="3" t="s">
        <v>164</v>
      </c>
      <c r="C5" s="15">
        <f>_xll.ciqfunctions.udf.CIQ(Snapshot!C3, "IQ_TOTAL_REV", IQ_FY - 4)</f>
        <v>117929</v>
      </c>
      <c r="D5" s="15">
        <f>_xll.ciqfunctions.udf.CIQ(Snapshot!C3, "IQ_TOTAL_REV", IQ_FY - 3)</f>
        <v>116609</v>
      </c>
      <c r="E5" s="15">
        <f>_xll.ciqfunctions.udf.CIQ(Snapshot!C3, "IQ_TOTAL_REV", IQ_FY - 2)</f>
        <v>134902</v>
      </c>
      <c r="F5" s="15">
        <f>_xll.ciqfunctions.udf.CIQ(Snapshot!C3, "IQ_TOTAL_REV", IQ_FY - 1)</f>
        <v>164501</v>
      </c>
      <c r="G5" s="15">
        <f>_xll.ciqfunctions.udf.CIQ(Snapshot!C3, "IQ_TOTAL_REV", IQ_FY)</f>
        <v>200966</v>
      </c>
      <c r="H5" s="15">
        <f>_xll.ciqfunctions.udf.CIQ(Snapshot!C3, "IQ_TOTAL_REV", IQ_LTM)</f>
        <v>214963</v>
      </c>
      <c r="I5" s="18">
        <f>IFERROR(((G5/C5)^(1/4)-1)*100,"")</f>
        <v>14.255073267286789</v>
      </c>
      <c r="J5" s="7" t="s">
        <v>165</v>
      </c>
    </row>
    <row r="6" spans="1:10" x14ac:dyDescent="0.25">
      <c r="A6" s="4" t="s">
        <v>166</v>
      </c>
      <c r="B6" s="5" t="s">
        <v>167</v>
      </c>
      <c r="C6" s="15">
        <f>_xll.ciqfunctions.udf.CIQ(Snapshot!C3, "IQ_GP", IQ_FY - 4)</f>
        <v>95280</v>
      </c>
      <c r="D6" s="15">
        <f>_xll.ciqfunctions.udf.CIQ(Snapshot!C3, "IQ_GP", IQ_FY - 3)</f>
        <v>92855</v>
      </c>
      <c r="E6" s="15">
        <f>_xll.ciqfunctions.udf.CIQ(Snapshot!C3, "IQ_GP", IQ_FY - 2)</f>
        <v>108943</v>
      </c>
      <c r="F6" s="15">
        <f>_xll.ciqfunctions.udf.CIQ(Snapshot!C3, "IQ_GP", IQ_FY - 1)</f>
        <v>134340</v>
      </c>
      <c r="G6" s="15">
        <f>_xll.ciqfunctions.udf.CIQ(Snapshot!C3, "IQ_GP", IQ_FY)</f>
        <v>164791</v>
      </c>
      <c r="H6" s="15">
        <f>_xll.ciqfunctions.udf.CIQ(Snapshot!C3, "IQ_GP", IQ_LTM)</f>
        <v>176142</v>
      </c>
      <c r="I6" s="18">
        <f>IFERROR(((G6/C6)^(1/4)-1)*100,"")</f>
        <v>14.678745957497341</v>
      </c>
      <c r="J6" s="7" t="s">
        <v>168</v>
      </c>
    </row>
    <row r="7" spans="1:10" x14ac:dyDescent="0.25">
      <c r="A7" s="4" t="s">
        <v>169</v>
      </c>
      <c r="B7" s="5" t="s">
        <v>170</v>
      </c>
      <c r="C7" s="18">
        <f t="shared" ref="C7:H7" si="0">IFERROR(C6/C5*100,"")</f>
        <v>80.794376277251573</v>
      </c>
      <c r="D7" s="18">
        <f t="shared" si="0"/>
        <v>79.629359654915149</v>
      </c>
      <c r="E7" s="18">
        <f t="shared" si="0"/>
        <v>80.757142221760986</v>
      </c>
      <c r="F7" s="18">
        <f t="shared" si="0"/>
        <v>81.665157050717013</v>
      </c>
      <c r="G7" s="18">
        <f t="shared" si="0"/>
        <v>81.999442691798606</v>
      </c>
      <c r="H7" s="18">
        <f t="shared" si="0"/>
        <v>81.940613035731729</v>
      </c>
      <c r="I7" s="5"/>
      <c r="J7" s="7" t="s">
        <v>74</v>
      </c>
    </row>
    <row r="8" spans="1:10" x14ac:dyDescent="0.25">
      <c r="A8" s="4" t="s">
        <v>171</v>
      </c>
      <c r="B8" s="5" t="s">
        <v>172</v>
      </c>
      <c r="C8" s="15">
        <f>_xll.ciqfunctions.udf.CIQ(Snapshot!C3, "IQ_OPER_INC", IQ_FY - 4)</f>
        <v>46753</v>
      </c>
      <c r="D8" s="15">
        <f>_xll.ciqfunctions.udf.CIQ(Snapshot!C3, "IQ_OPER_INC", IQ_FY - 3)</f>
        <v>33555</v>
      </c>
      <c r="E8" s="15">
        <f>_xll.ciqfunctions.udf.CIQ(Snapshot!C3, "IQ_OPER_INC", IQ_FY - 2)</f>
        <v>46751</v>
      </c>
      <c r="F8" s="15">
        <f>_xll.ciqfunctions.udf.CIQ(Snapshot!C3, "IQ_OPER_INC", IQ_FY - 1)</f>
        <v>69380</v>
      </c>
      <c r="G8" s="15">
        <f>_xll.ciqfunctions.udf.CIQ(Snapshot!C3, "IQ_OPER_INC", IQ_FY)</f>
        <v>83276</v>
      </c>
      <c r="H8" s="15">
        <f>_xll.ciqfunctions.udf.CIQ(Snapshot!C3, "IQ_OPER_INC", IQ_LTM)</f>
        <v>88593</v>
      </c>
      <c r="I8" s="18">
        <f>IFERROR(((G8/C8)^(1/4)-1)*100,"")</f>
        <v>15.525429884971542</v>
      </c>
      <c r="J8" s="7" t="s">
        <v>173</v>
      </c>
    </row>
    <row r="9" spans="1:10" x14ac:dyDescent="0.25">
      <c r="A9" s="4" t="s">
        <v>174</v>
      </c>
      <c r="B9" s="5" t="s">
        <v>175</v>
      </c>
      <c r="C9" s="18">
        <f t="shared" ref="C9:H9" si="1">IFERROR(C8/C5*100,"")</f>
        <v>39.645040660058172</v>
      </c>
      <c r="D9" s="18">
        <f t="shared" si="1"/>
        <v>28.775651965114186</v>
      </c>
      <c r="E9" s="18">
        <f t="shared" si="1"/>
        <v>34.655527716416366</v>
      </c>
      <c r="F9" s="18">
        <f t="shared" si="1"/>
        <v>42.1760354040401</v>
      </c>
      <c r="G9" s="18">
        <f t="shared" si="1"/>
        <v>41.437855159579236</v>
      </c>
      <c r="H9" s="18">
        <f t="shared" si="1"/>
        <v>41.213139005317196</v>
      </c>
      <c r="I9" s="5"/>
      <c r="J9" s="7" t="s">
        <v>74</v>
      </c>
    </row>
    <row r="10" spans="1:10" x14ac:dyDescent="0.25">
      <c r="A10" s="4" t="s">
        <v>176</v>
      </c>
      <c r="B10" s="5" t="s">
        <v>177</v>
      </c>
      <c r="C10" s="15">
        <f>_xll.ciqfunctions.udf.CIQ(Snapshot!C3, "IQ_EBITDA", IQ_FY - 4)</f>
        <v>54720</v>
      </c>
      <c r="D10" s="15">
        <f>_xll.ciqfunctions.udf.CIQ(Snapshot!C3, "IQ_EBITDA", IQ_FY - 3)</f>
        <v>42241</v>
      </c>
      <c r="E10" s="15">
        <f>_xll.ciqfunctions.udf.CIQ(Snapshot!C3, "IQ_EBITDA", IQ_FY - 2)</f>
        <v>57929</v>
      </c>
      <c r="F10" s="15">
        <f>_xll.ciqfunctions.udf.CIQ(Snapshot!C3, "IQ_EBITDA", IQ_FY - 1)</f>
        <v>84820</v>
      </c>
      <c r="G10" s="15">
        <f>_xll.ciqfunctions.udf.CIQ(Snapshot!C3, "IQ_EBITDA", IQ_FY)</f>
        <v>101892</v>
      </c>
      <c r="H10" s="15">
        <f>_xll.ciqfunctions.udf.CIQ(Snapshot!C3, "IQ_EBITDA", IQ_LTM)</f>
        <v>109308</v>
      </c>
      <c r="I10" s="18">
        <f>IFERROR(((G10/C10)^(1/4)-1)*100,"")</f>
        <v>16.814969400887581</v>
      </c>
      <c r="J10" s="7" t="s">
        <v>178</v>
      </c>
    </row>
    <row r="11" spans="1:10" x14ac:dyDescent="0.25">
      <c r="A11" s="4" t="s">
        <v>179</v>
      </c>
      <c r="B11" s="5" t="s">
        <v>180</v>
      </c>
      <c r="C11" s="15">
        <f>_xll.ciqfunctions.udf.CIQ(Snapshot!C3, "IQ_NI", IQ_FY - 4)</f>
        <v>39370</v>
      </c>
      <c r="D11" s="15">
        <f>_xll.ciqfunctions.udf.CIQ(Snapshot!C3, "IQ_NI", IQ_FY - 3)</f>
        <v>23200</v>
      </c>
      <c r="E11" s="15">
        <f>_xll.ciqfunctions.udf.CIQ(Snapshot!C3, "IQ_NI", IQ_FY - 2)</f>
        <v>39098</v>
      </c>
      <c r="F11" s="15">
        <f>_xll.ciqfunctions.udf.CIQ(Snapshot!C3, "IQ_NI", IQ_FY - 1)</f>
        <v>62360</v>
      </c>
      <c r="G11" s="15">
        <f>_xll.ciqfunctions.udf.CIQ(Snapshot!C3, "IQ_NI", IQ_FY)</f>
        <v>60458</v>
      </c>
      <c r="H11" s="15">
        <f>_xll.ciqfunctions.udf.CIQ(Snapshot!C3, "IQ_NI", IQ_LTM)</f>
        <v>70587</v>
      </c>
      <c r="I11" s="18">
        <f>IFERROR(((G11/C11)^(1/4)-1)*100,"")</f>
        <v>11.319716174659522</v>
      </c>
      <c r="J11" s="7" t="s">
        <v>181</v>
      </c>
    </row>
    <row r="12" spans="1:10" x14ac:dyDescent="0.25">
      <c r="A12" s="4" t="s">
        <v>182</v>
      </c>
      <c r="B12" s="5" t="s">
        <v>183</v>
      </c>
      <c r="C12" s="18">
        <f t="shared" ref="C12:H12" si="2">IFERROR(C11/C5*100,"")</f>
        <v>33.384494059985251</v>
      </c>
      <c r="D12" s="18">
        <f t="shared" si="2"/>
        <v>19.895548371051976</v>
      </c>
      <c r="E12" s="18">
        <f t="shared" si="2"/>
        <v>28.982520644616095</v>
      </c>
      <c r="F12" s="18">
        <f t="shared" si="2"/>
        <v>37.908584142345639</v>
      </c>
      <c r="G12" s="18">
        <f t="shared" si="2"/>
        <v>30.08369574952977</v>
      </c>
      <c r="H12" s="18">
        <f t="shared" si="2"/>
        <v>32.83681377725469</v>
      </c>
      <c r="I12" s="5"/>
      <c r="J12" s="7" t="s">
        <v>74</v>
      </c>
    </row>
    <row r="13" spans="1:10" x14ac:dyDescent="0.25">
      <c r="A13" s="4" t="s">
        <v>184</v>
      </c>
      <c r="B13" s="3" t="s">
        <v>185</v>
      </c>
      <c r="C13" s="15">
        <f>_xll.ciqfunctions.udf.CIQ(Snapshot!C3, "IQ_CASH_OPER_CS", IQ_FY - 4)</f>
        <v>57683</v>
      </c>
      <c r="D13" s="15">
        <f>_xll.ciqfunctions.udf.CIQ(Snapshot!C3, "IQ_CASH_OPER_CS", IQ_FY - 3)</f>
        <v>50475</v>
      </c>
      <c r="E13" s="15">
        <f>_xll.ciqfunctions.udf.CIQ(Snapshot!C3, "IQ_CASH_OPER_CS", IQ_FY - 2)</f>
        <v>71113</v>
      </c>
      <c r="F13" s="15">
        <f>_xll.ciqfunctions.udf.CIQ(Snapshot!C3, "IQ_CASH_OPER_CS", IQ_FY - 1)</f>
        <v>91328</v>
      </c>
      <c r="G13" s="15">
        <f>_xll.ciqfunctions.udf.CIQ(Snapshot!C3, "IQ_CASH_OPER_CS", IQ_FY)</f>
        <v>115800</v>
      </c>
      <c r="H13" s="15">
        <f>_xll.ciqfunctions.udf.CIQ(Snapshot!C3, "IQ_CASH_OPER_CS", IQ_LTM)</f>
        <v>124000</v>
      </c>
      <c r="I13" s="18">
        <f>IFERROR(((G13/C13)^(1/4)-1)*100,"")</f>
        <v>19.032397218475829</v>
      </c>
      <c r="J13" s="7" t="s">
        <v>186</v>
      </c>
    </row>
    <row r="14" spans="1:10" x14ac:dyDescent="0.25">
      <c r="A14" s="4" t="s">
        <v>187</v>
      </c>
      <c r="B14" s="5" t="s">
        <v>188</v>
      </c>
      <c r="C14" s="15">
        <f>_xll.ciqfunctions.udf.CIQ(Snapshot!C3, "IQ_CAPEX", IQ_FY - 4)</f>
        <v>-18690</v>
      </c>
      <c r="D14" s="15">
        <f>_xll.ciqfunctions.udf.CIQ(Snapshot!C3, "IQ_CAPEX", IQ_FY - 3)</f>
        <v>-31186</v>
      </c>
      <c r="E14" s="15">
        <f>_xll.ciqfunctions.udf.CIQ(Snapshot!C3, "IQ_CAPEX", IQ_FY - 2)</f>
        <v>-27045</v>
      </c>
      <c r="F14" s="15">
        <f>_xll.ciqfunctions.udf.CIQ(Snapshot!C3, "IQ_CAPEX", IQ_FY - 1)</f>
        <v>-37256</v>
      </c>
      <c r="G14" s="15">
        <f>_xll.ciqfunctions.udf.CIQ(Snapshot!C3, "IQ_CAPEX", IQ_FY)</f>
        <v>-69691</v>
      </c>
      <c r="H14" s="15">
        <f>_xll.ciqfunctions.udf.CIQ(Snapshot!C3, "IQ_CAPEX", IQ_LTM)</f>
        <v>-75747</v>
      </c>
      <c r="I14" s="5"/>
      <c r="J14" s="7" t="s">
        <v>189</v>
      </c>
    </row>
    <row r="15" spans="1:10" x14ac:dyDescent="0.25">
      <c r="A15" s="4" t="s">
        <v>190</v>
      </c>
      <c r="B15" s="5" t="s">
        <v>191</v>
      </c>
      <c r="C15" s="20">
        <f>IF(C13="","",C13+C14)</f>
        <v>38993</v>
      </c>
      <c r="D15" s="20">
        <f t="shared" ref="D15:H15" si="3">IF(D13="","",D13+D14)</f>
        <v>19289</v>
      </c>
      <c r="E15" s="20">
        <f t="shared" si="3"/>
        <v>44068</v>
      </c>
      <c r="F15" s="20">
        <f t="shared" si="3"/>
        <v>54072</v>
      </c>
      <c r="G15" s="20">
        <f t="shared" si="3"/>
        <v>46109</v>
      </c>
      <c r="H15" s="20">
        <f t="shared" si="3"/>
        <v>48253</v>
      </c>
      <c r="I15" s="18">
        <f>IFERROR(((G15/C15)^(1/4)-1)*100,"")</f>
        <v>4.2796976813679555</v>
      </c>
      <c r="J15" s="7" t="s">
        <v>74</v>
      </c>
    </row>
    <row r="16" spans="1:10" x14ac:dyDescent="0.25">
      <c r="A16" s="4" t="s">
        <v>192</v>
      </c>
      <c r="B16" s="5" t="s">
        <v>193</v>
      </c>
      <c r="C16" s="18">
        <f t="shared" ref="C16:H16" si="4">IFERROR(C15/C5*100,"")</f>
        <v>33.064810182397885</v>
      </c>
      <c r="D16" s="18">
        <f t="shared" si="4"/>
        <v>16.54160485039748</v>
      </c>
      <c r="E16" s="18">
        <f t="shared" si="4"/>
        <v>32.666676550384722</v>
      </c>
      <c r="F16" s="18">
        <f t="shared" si="4"/>
        <v>32.870316897769619</v>
      </c>
      <c r="G16" s="18">
        <f t="shared" si="4"/>
        <v>22.943682015863377</v>
      </c>
      <c r="H16" s="18">
        <f t="shared" si="4"/>
        <v>22.447118806492281</v>
      </c>
      <c r="I16" s="5"/>
      <c r="J16" s="7" t="s">
        <v>74</v>
      </c>
    </row>
    <row r="17" spans="1:10" x14ac:dyDescent="0.25">
      <c r="A17" s="4" t="s">
        <v>194</v>
      </c>
      <c r="B17" s="5" t="s">
        <v>195</v>
      </c>
      <c r="C17" s="15">
        <f>_xll.ciqfunctions.udf.CIQ(Snapshot!C3, "IQ_STOCK_BASED_CF", IQ_FY - 4)</f>
        <v>9164</v>
      </c>
      <c r="D17" s="15">
        <f>_xll.ciqfunctions.udf.CIQ(Snapshot!C3, "IQ_STOCK_BASED_CF", IQ_FY - 3)</f>
        <v>11992</v>
      </c>
      <c r="E17" s="15">
        <f>_xll.ciqfunctions.udf.CIQ(Snapshot!C3, "IQ_STOCK_BASED_CF", IQ_FY - 2)</f>
        <v>14027</v>
      </c>
      <c r="F17" s="15">
        <f>_xll.ciqfunctions.udf.CIQ(Snapshot!C3, "IQ_STOCK_BASED_CF", IQ_FY - 1)</f>
        <v>16690</v>
      </c>
      <c r="G17" s="15">
        <f>_xll.ciqfunctions.udf.CIQ(Snapshot!C3, "IQ_STOCK_BASED_CF", IQ_FY)</f>
        <v>20427</v>
      </c>
      <c r="H17" s="15">
        <f>_xll.ciqfunctions.udf.CIQ(Snapshot!C3, "IQ_STOCK_BASED_CF", IQ_LTM)</f>
        <v>22312</v>
      </c>
      <c r="I17" s="5"/>
      <c r="J17" s="7" t="s">
        <v>196</v>
      </c>
    </row>
    <row r="18" spans="1:10" x14ac:dyDescent="0.25">
      <c r="A18" s="4" t="s">
        <v>197</v>
      </c>
      <c r="B18" s="5" t="s">
        <v>198</v>
      </c>
      <c r="C18" s="18">
        <f t="shared" ref="C18:H18" si="5">IFERROR(C17/C5*100,"")</f>
        <v>7.7707773321235658</v>
      </c>
      <c r="D18" s="18">
        <f t="shared" si="5"/>
        <v>10.283940347657557</v>
      </c>
      <c r="E18" s="18">
        <f t="shared" si="5"/>
        <v>10.397918488977183</v>
      </c>
      <c r="F18" s="18">
        <f t="shared" si="5"/>
        <v>10.145834979726567</v>
      </c>
      <c r="G18" s="18">
        <f t="shared" si="5"/>
        <v>10.164405919409253</v>
      </c>
      <c r="H18" s="18">
        <f t="shared" si="5"/>
        <v>10.379460651367909</v>
      </c>
      <c r="I18" s="5"/>
      <c r="J18" s="7" t="s">
        <v>74</v>
      </c>
    </row>
    <row r="19" spans="1:10" x14ac:dyDescent="0.25">
      <c r="A19" s="4" t="s">
        <v>199</v>
      </c>
      <c r="B19" s="5" t="s">
        <v>200</v>
      </c>
      <c r="C19" s="15">
        <f>_xll.ciqfunctions.udf.CIQ(Snapshot!C3, "IQ_TOTAL_DIV_PAID_CF", IQ_FY - 4)</f>
        <v>0</v>
      </c>
      <c r="D19" s="15">
        <f>_xll.ciqfunctions.udf.CIQ(Snapshot!C3, "IQ_TOTAL_DIV_PAID_CF", IQ_FY - 3)</f>
        <v>0</v>
      </c>
      <c r="E19" s="15">
        <f>_xll.ciqfunctions.udf.CIQ(Snapshot!C3, "IQ_TOTAL_DIV_PAID_CF", IQ_FY - 2)</f>
        <v>0</v>
      </c>
      <c r="F19" s="15">
        <f>_xll.ciqfunctions.udf.CIQ(Snapshot!C3, "IQ_TOTAL_DIV_PAID_CF", IQ_FY - 1)</f>
        <v>-5072</v>
      </c>
      <c r="G19" s="15">
        <f>_xll.ciqfunctions.udf.CIQ(Snapshot!C3, "IQ_TOTAL_DIV_PAID_CF", IQ_FY)</f>
        <v>-5324</v>
      </c>
      <c r="H19" s="15">
        <f>_xll.ciqfunctions.udf.CIQ(Snapshot!C3, "IQ_TOTAL_DIV_PAID_CF", IQ_LTM)</f>
        <v>-5341</v>
      </c>
      <c r="I19" s="5"/>
      <c r="J19" s="7" t="s">
        <v>201</v>
      </c>
    </row>
    <row r="20" spans="1:10" x14ac:dyDescent="0.25">
      <c r="A20" s="4" t="s">
        <v>202</v>
      </c>
      <c r="B20" s="5" t="s">
        <v>203</v>
      </c>
      <c r="C20" s="15">
        <f>_xll.ciqfunctions.udf.CIQ(Snapshot!C3, "IQ_COMMON_REP", IQ_FY - 4)</f>
        <v>-50052</v>
      </c>
      <c r="D20" s="15">
        <f>_xll.ciqfunctions.udf.CIQ(Snapshot!C3, "IQ_COMMON_REP", IQ_FY - 3)</f>
        <v>-31551</v>
      </c>
      <c r="E20" s="15">
        <f>_xll.ciqfunctions.udf.CIQ(Snapshot!C3, "IQ_COMMON_REP", IQ_FY - 2)</f>
        <v>-26786</v>
      </c>
      <c r="F20" s="15">
        <f>_xll.ciqfunctions.udf.CIQ(Snapshot!C3, "IQ_COMMON_REP", IQ_FY - 1)</f>
        <v>-43895</v>
      </c>
      <c r="G20" s="15">
        <f>_xll.ciqfunctions.udf.CIQ(Snapshot!C3, "IQ_COMMON_REP", IQ_FY)</f>
        <v>-44648</v>
      </c>
      <c r="H20" s="15">
        <f>_xll.ciqfunctions.udf.CIQ(Snapshot!C3, "IQ_COMMON_REP", IQ_LTM)</f>
        <v>-31434</v>
      </c>
      <c r="I20" s="5"/>
      <c r="J20" s="7" t="s">
        <v>204</v>
      </c>
    </row>
    <row r="21" spans="1:10" x14ac:dyDescent="0.25">
      <c r="A21" s="4" t="s">
        <v>205</v>
      </c>
      <c r="B21" s="3" t="s">
        <v>206</v>
      </c>
      <c r="C21" s="15">
        <f>_xll.ciqfunctions.udf.CIQ(Snapshot!C3, "IQ_CASH_ST_INVEST", IQ_FY - 4)</f>
        <v>47998</v>
      </c>
      <c r="D21" s="15">
        <f>_xll.ciqfunctions.udf.CIQ(Snapshot!C3, "IQ_CASH_ST_INVEST", IQ_FY - 3)</f>
        <v>40738</v>
      </c>
      <c r="E21" s="15">
        <f>_xll.ciqfunctions.udf.CIQ(Snapshot!C3, "IQ_CASH_ST_INVEST", IQ_FY - 2)</f>
        <v>65403</v>
      </c>
      <c r="F21" s="15">
        <f>_xll.ciqfunctions.udf.CIQ(Snapshot!C3, "IQ_CASH_ST_INVEST", IQ_FY - 1)</f>
        <v>77815</v>
      </c>
      <c r="G21" s="15">
        <f>_xll.ciqfunctions.udf.CIQ(Snapshot!C3, "IQ_CASH_ST_INVEST", IQ_FY)</f>
        <v>81592</v>
      </c>
      <c r="H21" s="15">
        <f>_xll.ciqfunctions.udf.CIQ(Snapshot!C3, "IQ_CASH_ST_INVEST", IQ_LTM)</f>
        <v>81180</v>
      </c>
      <c r="I21" s="5"/>
      <c r="J21" s="7" t="s">
        <v>117</v>
      </c>
    </row>
    <row r="22" spans="1:10" x14ac:dyDescent="0.25">
      <c r="A22" s="4" t="s">
        <v>207</v>
      </c>
      <c r="B22" s="5" t="s">
        <v>119</v>
      </c>
      <c r="C22" s="15">
        <f>_xll.ciqfunctions.udf.CIQ(Snapshot!C3, "IQ_TOTAL_DEBT", IQ_FY - 4)</f>
        <v>13873</v>
      </c>
      <c r="D22" s="15">
        <f>_xll.ciqfunctions.udf.CIQ(Snapshot!C3, "IQ_TOTAL_DEBT", IQ_FY - 3)</f>
        <v>26591</v>
      </c>
      <c r="E22" s="15">
        <f>_xll.ciqfunctions.udf.CIQ(Snapshot!C3, "IQ_TOTAL_DEBT", IQ_FY - 2)</f>
        <v>37234</v>
      </c>
      <c r="F22" s="15">
        <f>_xll.ciqfunctions.udf.CIQ(Snapshot!C3, "IQ_TOTAL_DEBT", IQ_FY - 1)</f>
        <v>49060</v>
      </c>
      <c r="G22" s="15">
        <f>_xll.ciqfunctions.udf.CIQ(Snapshot!C3, "IQ_TOTAL_DEBT", IQ_FY)</f>
        <v>85081</v>
      </c>
      <c r="H22" s="15">
        <f>_xll.ciqfunctions.udf.CIQ(Snapshot!C3, "IQ_TOTAL_DEBT", IQ_LTM)</f>
        <v>86769</v>
      </c>
      <c r="I22" s="5"/>
      <c r="J22" s="7" t="s">
        <v>120</v>
      </c>
    </row>
    <row r="23" spans="1:10" x14ac:dyDescent="0.25">
      <c r="A23" s="4" t="s">
        <v>208</v>
      </c>
      <c r="B23" s="5" t="s">
        <v>122</v>
      </c>
      <c r="C23" s="20">
        <f t="shared" ref="C23:H23" si="6">IF(C22="","",C22-C21)</f>
        <v>-34125</v>
      </c>
      <c r="D23" s="20">
        <f t="shared" si="6"/>
        <v>-14147</v>
      </c>
      <c r="E23" s="20">
        <f t="shared" si="6"/>
        <v>-28169</v>
      </c>
      <c r="F23" s="20">
        <f t="shared" si="6"/>
        <v>-28755</v>
      </c>
      <c r="G23" s="20">
        <f t="shared" si="6"/>
        <v>3489</v>
      </c>
      <c r="H23" s="20">
        <f t="shared" si="6"/>
        <v>5589</v>
      </c>
      <c r="I23" s="5"/>
      <c r="J23" s="7" t="s">
        <v>74</v>
      </c>
    </row>
    <row r="24" spans="1:10" x14ac:dyDescent="0.25">
      <c r="A24" s="4" t="s">
        <v>209</v>
      </c>
      <c r="B24" s="5" t="s">
        <v>210</v>
      </c>
      <c r="C24" s="15">
        <f>_xll.ciqfunctions.udf.CIQ(Snapshot!C3, "IQ_TOTAL_EQUITY", IQ_FY - 4)</f>
        <v>124879</v>
      </c>
      <c r="D24" s="15">
        <f>_xll.ciqfunctions.udf.CIQ(Snapshot!C3, "IQ_TOTAL_EQUITY", IQ_FY - 3)</f>
        <v>125713</v>
      </c>
      <c r="E24" s="15">
        <f>_xll.ciqfunctions.udf.CIQ(Snapshot!C3, "IQ_TOTAL_EQUITY", IQ_FY - 2)</f>
        <v>153168</v>
      </c>
      <c r="F24" s="15">
        <f>_xll.ciqfunctions.udf.CIQ(Snapshot!C3, "IQ_TOTAL_EQUITY", IQ_FY - 1)</f>
        <v>182637</v>
      </c>
      <c r="G24" s="15">
        <f>_xll.ciqfunctions.udf.CIQ(Snapshot!C3, "IQ_TOTAL_EQUITY", IQ_FY)</f>
        <v>217243</v>
      </c>
      <c r="H24" s="15">
        <f>_xll.ciqfunctions.udf.CIQ(Snapshot!C3, "IQ_TOTAL_EQUITY", IQ_LTM)</f>
        <v>243681</v>
      </c>
      <c r="I24" s="5"/>
      <c r="J24" s="7" t="s">
        <v>211</v>
      </c>
    </row>
    <row r="25" spans="1:10" x14ac:dyDescent="0.25">
      <c r="A25" s="4" t="s">
        <v>212</v>
      </c>
      <c r="B25" s="5" t="s">
        <v>213</v>
      </c>
      <c r="C25" s="15">
        <f>_xll.ciqfunctions.udf.CIQ(Snapshot!C3, "IQ_TOTAL_ASSETS", IQ_FY - 4)</f>
        <v>165987</v>
      </c>
      <c r="D25" s="15">
        <f>_xll.ciqfunctions.udf.CIQ(Snapshot!C3, "IQ_TOTAL_ASSETS", IQ_FY - 3)</f>
        <v>185727</v>
      </c>
      <c r="E25" s="15">
        <f>_xll.ciqfunctions.udf.CIQ(Snapshot!C3, "IQ_TOTAL_ASSETS", IQ_FY - 2)</f>
        <v>229623</v>
      </c>
      <c r="F25" s="15">
        <f>_xll.ciqfunctions.udf.CIQ(Snapshot!C3, "IQ_TOTAL_ASSETS", IQ_FY - 1)</f>
        <v>276054</v>
      </c>
      <c r="G25" s="15">
        <f>_xll.ciqfunctions.udf.CIQ(Snapshot!C3, "IQ_TOTAL_ASSETS", IQ_FY)</f>
        <v>366021</v>
      </c>
      <c r="H25" s="15">
        <f>_xll.ciqfunctions.udf.CIQ(Snapshot!C3, "IQ_TOTAL_ASSETS", IQ_LTM)</f>
        <v>395250</v>
      </c>
      <c r="I25" s="5"/>
      <c r="J25" s="7" t="s">
        <v>214</v>
      </c>
    </row>
    <row r="26" spans="1:10" x14ac:dyDescent="0.25">
      <c r="A26" s="4" t="s">
        <v>215</v>
      </c>
      <c r="B26" s="5" t="s">
        <v>216</v>
      </c>
      <c r="C26" s="15">
        <f t="shared" ref="C26:H26" si="7">C22+C24-C21</f>
        <v>90754</v>
      </c>
      <c r="D26" s="15">
        <f t="shared" si="7"/>
        <v>111566</v>
      </c>
      <c r="E26" s="15">
        <f t="shared" si="7"/>
        <v>124999</v>
      </c>
      <c r="F26" s="15">
        <f t="shared" si="7"/>
        <v>153882</v>
      </c>
      <c r="G26" s="15">
        <f t="shared" si="7"/>
        <v>220732</v>
      </c>
      <c r="H26" s="15">
        <f t="shared" si="7"/>
        <v>249270</v>
      </c>
      <c r="I26" s="5"/>
      <c r="J26" s="7" t="s">
        <v>217</v>
      </c>
    </row>
    <row r="27" spans="1:10" x14ac:dyDescent="0.25">
      <c r="A27" s="4" t="s">
        <v>218</v>
      </c>
      <c r="B27" s="5" t="s">
        <v>124</v>
      </c>
      <c r="C27" s="22">
        <f t="shared" ref="C27:H27" si="8">IFERROR(C23/C10*1,"")</f>
        <v>-0.62362938596491224</v>
      </c>
      <c r="D27" s="22">
        <f t="shared" si="8"/>
        <v>-0.33491157879785044</v>
      </c>
      <c r="E27" s="22">
        <f t="shared" si="8"/>
        <v>-0.48626767249564123</v>
      </c>
      <c r="F27" s="22">
        <f t="shared" si="8"/>
        <v>-0.33901202546569204</v>
      </c>
      <c r="G27" s="22">
        <f t="shared" si="8"/>
        <v>3.4242138735131315E-2</v>
      </c>
      <c r="H27" s="22">
        <f t="shared" si="8"/>
        <v>5.1130749807882313E-2</v>
      </c>
      <c r="I27" s="5"/>
      <c r="J27" s="7" t="s">
        <v>74</v>
      </c>
    </row>
    <row r="28" spans="1:10" x14ac:dyDescent="0.25">
      <c r="A28" s="4" t="s">
        <v>219</v>
      </c>
      <c r="B28" s="3" t="s">
        <v>220</v>
      </c>
      <c r="C28" s="23">
        <f t="shared" ref="C28:H28" si="9">IFERROR(C11/C33*1,"")</f>
        <v>13.770549143057012</v>
      </c>
      <c r="D28" s="23">
        <f t="shared" si="9"/>
        <v>8.5862324204293117</v>
      </c>
      <c r="E28" s="23">
        <f t="shared" si="9"/>
        <v>14.871814378090528</v>
      </c>
      <c r="F28" s="23">
        <f t="shared" si="9"/>
        <v>23.856159143075747</v>
      </c>
      <c r="G28" s="23">
        <f t="shared" si="9"/>
        <v>23.487956487956488</v>
      </c>
      <c r="H28" s="23">
        <f t="shared" si="9"/>
        <v>27.492502434274588</v>
      </c>
      <c r="I28" s="5"/>
      <c r="J28" s="7" t="s">
        <v>74</v>
      </c>
    </row>
    <row r="29" spans="1:10" x14ac:dyDescent="0.25">
      <c r="A29" s="4" t="s">
        <v>221</v>
      </c>
      <c r="B29" s="5" t="s">
        <v>222</v>
      </c>
      <c r="C29" s="23">
        <f t="shared" ref="C29:H29" si="10">IFERROR(C15/C33*1,"")</f>
        <v>13.638684854844351</v>
      </c>
      <c r="D29" s="23">
        <f t="shared" si="10"/>
        <v>7.1387860843819393</v>
      </c>
      <c r="E29" s="23">
        <f t="shared" si="10"/>
        <v>16.762267021681247</v>
      </c>
      <c r="F29" s="23">
        <f t="shared" si="10"/>
        <v>20.685539403213465</v>
      </c>
      <c r="G29" s="23">
        <f t="shared" si="10"/>
        <v>17.913364413364413</v>
      </c>
      <c r="H29" s="23">
        <f t="shared" si="10"/>
        <v>18.793768257059398</v>
      </c>
      <c r="I29" s="5"/>
      <c r="J29" s="7" t="s">
        <v>74</v>
      </c>
    </row>
    <row r="30" spans="1:10" x14ac:dyDescent="0.25">
      <c r="A30" s="4" t="s">
        <v>223</v>
      </c>
      <c r="B30" s="5" t="s">
        <v>224</v>
      </c>
      <c r="C30" s="23">
        <f t="shared" ref="C30:H30" si="11">IFERROR(C24/C33*1,"")</f>
        <v>43.679258481986707</v>
      </c>
      <c r="D30" s="23">
        <f t="shared" si="11"/>
        <v>46.525906735751292</v>
      </c>
      <c r="E30" s="23">
        <f t="shared" si="11"/>
        <v>58.26093571700266</v>
      </c>
      <c r="F30" s="23">
        <f t="shared" si="11"/>
        <v>69.868783473603671</v>
      </c>
      <c r="G30" s="23">
        <f t="shared" si="11"/>
        <v>84.398989898989896</v>
      </c>
      <c r="H30" s="23">
        <f t="shared" si="11"/>
        <v>94.909834469328146</v>
      </c>
      <c r="I30" s="5"/>
      <c r="J30" s="7" t="s">
        <v>74</v>
      </c>
    </row>
    <row r="31" spans="1:10" x14ac:dyDescent="0.25">
      <c r="A31" s="4" t="s">
        <v>225</v>
      </c>
      <c r="B31" s="3" t="s">
        <v>226</v>
      </c>
      <c r="C31" s="18">
        <f t="shared" ref="C31:H31" si="12">IFERROR(C11/C26*100,"")</f>
        <v>43.381007999647395</v>
      </c>
      <c r="D31" s="18">
        <f t="shared" si="12"/>
        <v>20.794865819335641</v>
      </c>
      <c r="E31" s="18">
        <f t="shared" si="12"/>
        <v>31.278650229201833</v>
      </c>
      <c r="F31" s="18">
        <f t="shared" si="12"/>
        <v>40.524557778037718</v>
      </c>
      <c r="G31" s="18">
        <f t="shared" si="12"/>
        <v>27.38977583676132</v>
      </c>
      <c r="H31" s="18">
        <f t="shared" si="12"/>
        <v>28.317487062221687</v>
      </c>
      <c r="I31" s="5"/>
      <c r="J31" s="7" t="s">
        <v>74</v>
      </c>
    </row>
    <row r="32" spans="1:10" x14ac:dyDescent="0.25">
      <c r="A32" s="4" t="s">
        <v>227</v>
      </c>
      <c r="B32" s="5" t="s">
        <v>228</v>
      </c>
      <c r="C32" s="18">
        <f t="shared" ref="C32:H32" si="13">IFERROR(C11/C24*100,"")</f>
        <v>31.526517669103693</v>
      </c>
      <c r="D32" s="18">
        <f t="shared" si="13"/>
        <v>18.454734196145186</v>
      </c>
      <c r="E32" s="18">
        <f t="shared" si="13"/>
        <v>25.526219575890526</v>
      </c>
      <c r="F32" s="18">
        <f t="shared" si="13"/>
        <v>34.144231453648494</v>
      </c>
      <c r="G32" s="18">
        <f t="shared" si="13"/>
        <v>27.829665397734331</v>
      </c>
      <c r="H32" s="18">
        <f t="shared" si="13"/>
        <v>28.966969111256109</v>
      </c>
      <c r="I32" s="5"/>
      <c r="J32" s="7" t="s">
        <v>74</v>
      </c>
    </row>
    <row r="33" spans="1:10" x14ac:dyDescent="0.25">
      <c r="A33" s="4" t="s">
        <v>229</v>
      </c>
      <c r="B33" s="5" t="s">
        <v>230</v>
      </c>
      <c r="C33" s="16">
        <f>_xll.ciqfunctions.udf.CIQ(Snapshot!C3, "IQ_DILUT_WEIGHT", IQ_FY - 4)</f>
        <v>2859</v>
      </c>
      <c r="D33" s="16">
        <f>_xll.ciqfunctions.udf.CIQ(Snapshot!C3, "IQ_DILUT_WEIGHT", IQ_FY - 3)</f>
        <v>2702</v>
      </c>
      <c r="E33" s="16">
        <f>_xll.ciqfunctions.udf.CIQ(Snapshot!C3, "IQ_DILUT_WEIGHT", IQ_FY - 2)</f>
        <v>2629</v>
      </c>
      <c r="F33" s="16">
        <f>_xll.ciqfunctions.udf.CIQ(Snapshot!C3, "IQ_DILUT_WEIGHT", IQ_FY - 1)</f>
        <v>2614</v>
      </c>
      <c r="G33" s="16">
        <f>_xll.ciqfunctions.udf.CIQ(Snapshot!C3, "IQ_DILUT_WEIGHT", IQ_FY)</f>
        <v>2574</v>
      </c>
      <c r="H33" s="16">
        <f>_xll.ciqfunctions.udf.CIQ(Snapshot!C3, "IQ_DILUT_WEIGHT", IQ_LTM)</f>
        <v>2567.5</v>
      </c>
      <c r="I33" s="18">
        <f>IFERROR(((G33/C33)^(1/4)-1)*100,"")</f>
        <v>-2.5911094776387866</v>
      </c>
      <c r="J33" s="7" t="s">
        <v>231</v>
      </c>
    </row>
    <row r="34" spans="1:10" x14ac:dyDescent="0.25">
      <c r="A34" s="4" t="s">
        <v>232</v>
      </c>
      <c r="B34" s="5" t="s">
        <v>233</v>
      </c>
      <c r="C34" s="18"/>
      <c r="D34" s="18">
        <f>IFERROR((D33/C33-1)*100,"")</f>
        <v>-5.4914305701294186</v>
      </c>
      <c r="E34" s="18">
        <f>IFERROR((E33/D33-1)*100,"")</f>
        <v>-2.70170244263509</v>
      </c>
      <c r="F34" s="18">
        <f>IFERROR((F33/E33-1)*100,"")</f>
        <v>-0.57055914796501073</v>
      </c>
      <c r="G34" s="18">
        <f>IFERROR((G33/F33-1)*100,"")</f>
        <v>-1.5302218821729108</v>
      </c>
      <c r="H34" s="18">
        <f>IFERROR((H33/G33-1)*100,"")</f>
        <v>-0.2525252525252486</v>
      </c>
      <c r="I34" s="5"/>
      <c r="J34" s="7" t="s">
        <v>74</v>
      </c>
    </row>
  </sheetData>
  <mergeCells count="2">
    <mergeCell ref="A1:J1"/>
    <mergeCell ref="A2:J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3"/>
  <sheetViews>
    <sheetView workbookViewId="0">
      <selection activeCell="D37" sqref="D37"/>
    </sheetView>
  </sheetViews>
  <sheetFormatPr defaultRowHeight="15" x14ac:dyDescent="0.25"/>
  <cols>
    <col min="1" max="1" width="34" customWidth="1"/>
    <col min="2" max="2" width="16" customWidth="1"/>
    <col min="3" max="3" width="8" customWidth="1"/>
    <col min="4" max="5" width="14" customWidth="1"/>
    <col min="6" max="6" width="12" customWidth="1"/>
  </cols>
  <sheetData>
    <row r="1" spans="1:6" ht="24" customHeight="1" x14ac:dyDescent="0.25">
      <c r="A1" s="87" t="s">
        <v>234</v>
      </c>
      <c r="B1" s="88"/>
      <c r="C1" s="88"/>
      <c r="D1" s="88"/>
      <c r="E1" s="88"/>
      <c r="F1" s="88"/>
    </row>
    <row r="2" spans="1:6" x14ac:dyDescent="0.25">
      <c r="A2" s="90" t="s">
        <v>235</v>
      </c>
      <c r="B2" s="88"/>
      <c r="C2" s="88"/>
      <c r="D2" s="88"/>
      <c r="E2" s="88"/>
      <c r="F2" s="88"/>
    </row>
    <row r="4" spans="1:6" x14ac:dyDescent="0.25">
      <c r="A4" s="24" t="s">
        <v>236</v>
      </c>
      <c r="B4" s="25"/>
      <c r="C4" s="25"/>
      <c r="D4" s="25"/>
      <c r="E4" s="25"/>
      <c r="F4" s="25"/>
    </row>
    <row r="5" spans="1:6" x14ac:dyDescent="0.25">
      <c r="A5" t="s">
        <v>237</v>
      </c>
      <c r="B5" s="26">
        <f ca="1">Snapshot!D15</f>
        <v>664.54</v>
      </c>
    </row>
    <row r="6" spans="1:6" x14ac:dyDescent="0.25">
      <c r="A6" t="s">
        <v>238</v>
      </c>
      <c r="B6" s="26">
        <f>History!H28</f>
        <v>27.492502434274588</v>
      </c>
    </row>
    <row r="7" spans="1:6" x14ac:dyDescent="0.25">
      <c r="A7" t="s">
        <v>239</v>
      </c>
      <c r="B7" s="26">
        <f>History!H29</f>
        <v>18.793768257059398</v>
      </c>
    </row>
    <row r="9" spans="1:6" x14ac:dyDescent="0.25">
      <c r="A9" s="27" t="s">
        <v>240</v>
      </c>
      <c r="B9" s="27" t="s">
        <v>241</v>
      </c>
      <c r="C9" s="27" t="s">
        <v>242</v>
      </c>
      <c r="D9" s="27" t="s">
        <v>243</v>
      </c>
      <c r="E9" s="27" t="s">
        <v>244</v>
      </c>
      <c r="F9" s="27" t="s">
        <v>245</v>
      </c>
    </row>
    <row r="10" spans="1:6" x14ac:dyDescent="0.25">
      <c r="A10" s="28" t="s">
        <v>246</v>
      </c>
      <c r="B10" s="29">
        <f>B6</f>
        <v>27.492502434274588</v>
      </c>
      <c r="C10" s="7" t="s">
        <v>247</v>
      </c>
      <c r="D10" s="62">
        <f>IFERROR(PERCENTILE(Peers!N5:N54,0.25),"")</f>
        <v>18.6936725438892</v>
      </c>
      <c r="E10" s="29">
        <f>IFERROR(B10*D10,"")</f>
        <v>513.93583791840581</v>
      </c>
      <c r="F10" s="30">
        <f ca="1">IFERROR((E10/$B$5-1)*100,"")</f>
        <v>-22.662919023925443</v>
      </c>
    </row>
    <row r="11" spans="1:6" x14ac:dyDescent="0.25">
      <c r="A11" s="28" t="s">
        <v>248</v>
      </c>
      <c r="B11" s="29">
        <f>B6</f>
        <v>27.492502434274588</v>
      </c>
      <c r="C11" s="7" t="s">
        <v>247</v>
      </c>
      <c r="D11" s="62">
        <f>IFERROR(PERCENTILE(Peers!N5:N54,0.5),"")</f>
        <v>30.469543602184601</v>
      </c>
      <c r="E11" s="29">
        <f>IFERROR(B11*D11,"")</f>
        <v>837.6840016542958</v>
      </c>
      <c r="F11" s="30">
        <f ca="1">IFERROR((E11/$B$5-1)*100,"")</f>
        <v>26.05471478831911</v>
      </c>
    </row>
    <row r="12" spans="1:6" x14ac:dyDescent="0.25">
      <c r="A12" s="28" t="s">
        <v>249</v>
      </c>
      <c r="B12" s="29">
        <f>B6</f>
        <v>27.492502434274588</v>
      </c>
      <c r="C12" s="7" t="s">
        <v>247</v>
      </c>
      <c r="D12" s="62">
        <f>IFERROR(PERCENTILE(Peers!N5:N54,0.75),"")</f>
        <v>39.558521225167951</v>
      </c>
      <c r="E12" s="29">
        <f>IFERROR(B12*D12,"")</f>
        <v>1087.5627410792329</v>
      </c>
      <c r="F12" s="30">
        <f ca="1">IFERROR((E12/$B$5-1)*100,"")</f>
        <v>63.656475318149845</v>
      </c>
    </row>
    <row r="14" spans="1:6" x14ac:dyDescent="0.25">
      <c r="A14" s="89" t="s">
        <v>250</v>
      </c>
      <c r="B14" s="88"/>
      <c r="C14" s="88"/>
      <c r="D14" s="88"/>
      <c r="E14" s="88"/>
      <c r="F14" s="88"/>
    </row>
    <row r="16" spans="1:6" x14ac:dyDescent="0.25">
      <c r="A16" s="57" t="s">
        <v>251</v>
      </c>
      <c r="B16" s="63"/>
      <c r="C16" s="63"/>
      <c r="D16" s="63"/>
      <c r="E16" s="63"/>
      <c r="F16" s="63"/>
    </row>
    <row r="17" spans="1:6" x14ac:dyDescent="0.25">
      <c r="A17" s="55" t="s">
        <v>252</v>
      </c>
      <c r="B17" s="64">
        <v>4.2999999999999997E-2</v>
      </c>
    </row>
    <row r="18" spans="1:6" x14ac:dyDescent="0.25">
      <c r="A18" s="55" t="s">
        <v>253</v>
      </c>
      <c r="B18" s="64">
        <v>0.05</v>
      </c>
    </row>
    <row r="19" spans="1:6" x14ac:dyDescent="0.25">
      <c r="A19" s="55" t="s">
        <v>64</v>
      </c>
      <c r="B19" s="65">
        <f ca="1">Snapshot!D21</f>
        <v>1.2456700000000001</v>
      </c>
    </row>
    <row r="20" spans="1:6" x14ac:dyDescent="0.25">
      <c r="A20" s="55" t="s">
        <v>254</v>
      </c>
      <c r="B20" s="66">
        <f ca="1">B17+B19*B18</f>
        <v>0.1052835</v>
      </c>
    </row>
    <row r="21" spans="1:6" x14ac:dyDescent="0.25">
      <c r="A21" s="55" t="s">
        <v>255</v>
      </c>
      <c r="B21" s="66">
        <f>B17+0.015</f>
        <v>5.7999999999999996E-2</v>
      </c>
    </row>
    <row r="22" spans="1:6" x14ac:dyDescent="0.25">
      <c r="A22" s="55" t="s">
        <v>256</v>
      </c>
      <c r="B22" s="64">
        <v>0.21</v>
      </c>
    </row>
    <row r="23" spans="1:6" x14ac:dyDescent="0.25">
      <c r="A23" s="55" t="s">
        <v>257</v>
      </c>
      <c r="B23" s="66">
        <f>B21*(1-B22)</f>
        <v>4.582E-2</v>
      </c>
    </row>
    <row r="24" spans="1:6" x14ac:dyDescent="0.25">
      <c r="A24" s="55" t="s">
        <v>258</v>
      </c>
      <c r="B24" s="67">
        <f ca="1">Snapshot!D16</f>
        <v>1686883.82244</v>
      </c>
    </row>
    <row r="25" spans="1:6" x14ac:dyDescent="0.25">
      <c r="A25" s="55" t="s">
        <v>259</v>
      </c>
      <c r="B25" s="67">
        <f ca="1">Snapshot!D40</f>
        <v>86769</v>
      </c>
    </row>
    <row r="26" spans="1:6" x14ac:dyDescent="0.25">
      <c r="A26" s="55" t="s">
        <v>260</v>
      </c>
      <c r="B26" s="68">
        <f ca="1">IFERROR(B25/(B24+B25),0)</f>
        <v>4.8921073449217971E-2</v>
      </c>
    </row>
    <row r="27" spans="1:6" x14ac:dyDescent="0.25">
      <c r="A27" s="55" t="s">
        <v>261</v>
      </c>
      <c r="B27" s="68">
        <f ca="1">IFERROR(B24/(B24+B25),1)</f>
        <v>0.95107892655078208</v>
      </c>
    </row>
    <row r="28" spans="1:6" x14ac:dyDescent="0.25">
      <c r="A28" s="55" t="s">
        <v>262</v>
      </c>
      <c r="B28" s="69">
        <f ca="1">B27*B20+B26*B23</f>
        <v>0.10237448174895243</v>
      </c>
    </row>
    <row r="30" spans="1:6" x14ac:dyDescent="0.25">
      <c r="A30" s="57" t="s">
        <v>263</v>
      </c>
      <c r="B30" s="63"/>
      <c r="C30" s="63"/>
      <c r="D30" s="63"/>
      <c r="E30" s="63"/>
      <c r="F30" s="63"/>
    </row>
    <row r="31" spans="1:6" x14ac:dyDescent="0.25">
      <c r="A31" s="55" t="s">
        <v>264</v>
      </c>
      <c r="B31" s="67">
        <f ca="1">Snapshot!D17</f>
        <v>1692472.82244</v>
      </c>
    </row>
    <row r="32" spans="1:6" x14ac:dyDescent="0.25">
      <c r="A32" s="55" t="s">
        <v>265</v>
      </c>
      <c r="B32" s="67">
        <f>History!H15</f>
        <v>48253</v>
      </c>
    </row>
    <row r="33" spans="1:2" x14ac:dyDescent="0.25">
      <c r="A33" s="55" t="s">
        <v>266</v>
      </c>
      <c r="B33" s="66">
        <f ca="1">IFERROR(B32/B31,"")</f>
        <v>2.8510354411738638E-2</v>
      </c>
    </row>
    <row r="34" spans="1:2" x14ac:dyDescent="0.25">
      <c r="A34" s="55" t="s">
        <v>267</v>
      </c>
      <c r="B34" s="69">
        <f ca="1">IFERROR(B28-B33,"")</f>
        <v>7.3864127337213786E-2</v>
      </c>
    </row>
    <row r="35" spans="1:2" x14ac:dyDescent="0.25">
      <c r="A35" s="55" t="s">
        <v>268</v>
      </c>
      <c r="B35" s="70">
        <f>IFERROR(History!I15/100,"")</f>
        <v>4.2796976813679555E-2</v>
      </c>
    </row>
    <row r="36" spans="1:2" x14ac:dyDescent="0.25">
      <c r="A36" s="55" t="s">
        <v>269</v>
      </c>
      <c r="B36" s="70">
        <f>IFERROR(History!I5/100,"")</f>
        <v>0.14255073267286789</v>
      </c>
    </row>
    <row r="37" spans="1:2" x14ac:dyDescent="0.25">
      <c r="A37" s="55" t="s">
        <v>270</v>
      </c>
      <c r="B37" s="66">
        <f ca="1">IFERROR(B34-B35,"")</f>
        <v>3.1067150523534232E-2</v>
      </c>
    </row>
    <row r="38" spans="1:2" x14ac:dyDescent="0.25">
      <c r="A38" s="55" t="s">
        <v>271</v>
      </c>
      <c r="B38" s="56" t="str">
        <f ca="1">IF(B34="","",IF(B34&gt;B35,"market prices in MORE growth than history delivered","market prices in LESS growth than history delivered"))</f>
        <v>market prices in MORE growth than history delivered</v>
      </c>
    </row>
    <row r="40" spans="1:2" x14ac:dyDescent="0.25">
      <c r="A40" s="61" t="s">
        <v>272</v>
      </c>
    </row>
    <row r="41" spans="1:2" x14ac:dyDescent="0.25">
      <c r="A41" s="55" t="s">
        <v>273</v>
      </c>
      <c r="B41" s="66">
        <f ca="1">IFERROR((B28-0.01)-B33,"")</f>
        <v>6.3864127337213805E-2</v>
      </c>
    </row>
    <row r="42" spans="1:2" x14ac:dyDescent="0.25">
      <c r="A42" s="55" t="s">
        <v>274</v>
      </c>
      <c r="B42" s="66">
        <f ca="1">B34</f>
        <v>7.3864127337213786E-2</v>
      </c>
    </row>
    <row r="43" spans="1:2" x14ac:dyDescent="0.25">
      <c r="A43" s="55" t="s">
        <v>275</v>
      </c>
      <c r="B43" s="66">
        <f ca="1">IFERROR((B28+0.01)-B33,"")</f>
        <v>8.3864127337213795E-2</v>
      </c>
    </row>
  </sheetData>
  <mergeCells count="3">
    <mergeCell ref="A2:F2"/>
    <mergeCell ref="A14:F14"/>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1B8E5-FA9E-4307-83EA-A3B2E69F3228}">
  <dimension ref="A1"/>
  <sheetViews>
    <sheetView workbookViewId="0"/>
  </sheetViews>
  <sheetFormatPr defaultRowHeight="15" x14ac:dyDescent="0.25"/>
  <sheetData/>
  <pageMargins left="0.7" right="0.7" top="0.75" bottom="0.75" header="0.3" footer="0.3"/>
  <customProperties>
    <customPr name="REFI_OFFICE_FUNCTION_CLICK_THROUGH_WORKSHEET_CURRENT_NAME" r:id="rId1"/>
  </customPropertie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69"/>
  <sheetViews>
    <sheetView zoomScale="70" zoomScaleNormal="70" workbookViewId="0">
      <selection activeCell="M55" sqref="M55"/>
    </sheetView>
  </sheetViews>
  <sheetFormatPr defaultRowHeight="15" x14ac:dyDescent="0.25"/>
  <cols>
    <col min="1" max="1" width="20" customWidth="1"/>
    <col min="2" max="4" width="12" customWidth="1"/>
    <col min="5" max="5" width="22" customWidth="1"/>
    <col min="6" max="6" width="20" customWidth="1"/>
    <col min="7" max="9" width="12" customWidth="1"/>
    <col min="10" max="10" width="14.85546875" bestFit="1" customWidth="1"/>
    <col min="11" max="13" width="13" customWidth="1"/>
    <col min="14" max="21" width="13" hidden="1" customWidth="1"/>
  </cols>
  <sheetData>
    <row r="1" spans="1:28" ht="24" customHeight="1" x14ac:dyDescent="0.25">
      <c r="A1" s="87" t="s">
        <v>276</v>
      </c>
      <c r="B1" s="88"/>
      <c r="C1" s="88"/>
      <c r="D1" s="88"/>
      <c r="E1" s="88"/>
      <c r="F1" s="88"/>
      <c r="G1" s="88"/>
      <c r="H1" s="88"/>
      <c r="I1" s="88"/>
      <c r="J1" s="88"/>
      <c r="K1" s="88"/>
    </row>
    <row r="2" spans="1:28" x14ac:dyDescent="0.25">
      <c r="A2" s="89" t="s">
        <v>277</v>
      </c>
      <c r="B2" s="88"/>
      <c r="C2" s="88"/>
      <c r="D2" s="88"/>
      <c r="E2" s="88"/>
      <c r="F2" s="88"/>
      <c r="G2" s="88"/>
      <c r="H2" s="88"/>
      <c r="I2" s="88"/>
      <c r="J2" s="88"/>
      <c r="K2" s="88"/>
    </row>
    <row r="4" spans="1:28" ht="30" customHeight="1" x14ac:dyDescent="0.25">
      <c r="A4" s="2" t="s">
        <v>278</v>
      </c>
      <c r="B4" s="21" t="s">
        <v>47</v>
      </c>
      <c r="C4" s="21" t="s">
        <v>50</v>
      </c>
      <c r="D4" s="21" t="s">
        <v>279</v>
      </c>
      <c r="E4" s="21" t="s">
        <v>280</v>
      </c>
      <c r="F4" s="21" t="s">
        <v>281</v>
      </c>
      <c r="G4" s="74" t="s">
        <v>282</v>
      </c>
      <c r="H4" s="74" t="s">
        <v>283</v>
      </c>
      <c r="I4" s="74" t="s">
        <v>284</v>
      </c>
      <c r="J4" s="74" t="s">
        <v>285</v>
      </c>
      <c r="K4" s="74" t="s">
        <v>286</v>
      </c>
      <c r="L4" s="81" t="s">
        <v>287</v>
      </c>
      <c r="M4" s="81" t="s">
        <v>288</v>
      </c>
      <c r="N4" s="60" t="s">
        <v>289</v>
      </c>
      <c r="O4" s="60" t="s">
        <v>290</v>
      </c>
      <c r="P4" s="60" t="s">
        <v>291</v>
      </c>
      <c r="Q4" s="60" t="s">
        <v>292</v>
      </c>
      <c r="R4" s="60" t="s">
        <v>293</v>
      </c>
      <c r="S4" s="60" t="s">
        <v>294</v>
      </c>
      <c r="T4" s="60" t="s">
        <v>295</v>
      </c>
      <c r="U4" s="60" t="s">
        <v>296</v>
      </c>
    </row>
    <row r="5" spans="1:28" x14ac:dyDescent="0.25">
      <c r="A5" s="31" t="str">
        <f>_xll.TR("PEERS("&amp;Snapshot!$B$3&amp;")",_xlfn._LONGTEXT("TR.CommonName;TR.PriceClose;TR.CompanyMarketCap(Scale=6);TR.PE;TR.EVToEBITDA;TR.PriceToSalesPerShare;TR.GrossMargin;TR.NetProfitMargin;TR.FreeOperatingCashFlowExclDividends(Period=LTM,SDate=0D,Curn=USD)/TR.CompanyMarketCap(SDate=0D,Curn=USD)*100/*Free Cas","h Flow Yield*/;TR.NetDebt/TR.EBITDA(Period=LTM)/*Net Debt to EBITDA*/;TR.Revenue(Period=LTM,Scale=6)/*Rev LTM (now)*/;TR.Revenue(Period=LTM-3,Scale=6)/*Rev LTM (-3)*/"))</f>
        <v>Alphabet Inc</v>
      </c>
      <c r="B5">
        <v>370.92</v>
      </c>
      <c r="C5">
        <v>4511892.2399454601</v>
      </c>
      <c r="D5" s="38">
        <v>28.2958631069761</v>
      </c>
      <c r="E5" s="38">
        <v>26.5722296976511</v>
      </c>
      <c r="F5">
        <v>10.6882780498446</v>
      </c>
      <c r="G5">
        <v>59.652320000000003</v>
      </c>
      <c r="H5">
        <v>32.80988</v>
      </c>
      <c r="I5" s="38">
        <v>1.4279817995116599</v>
      </c>
      <c r="J5" s="38">
        <v>-0.45092475267550702</v>
      </c>
      <c r="K5">
        <v>422499</v>
      </c>
      <c r="L5">
        <v>284612</v>
      </c>
      <c r="M5" s="84">
        <f t="shared" ref="M5:M36" si="0">IFERROR(((K5/L5)^(1/3)-1)*100,"")</f>
        <v>14.075091573599252</v>
      </c>
      <c r="N5" s="54">
        <f t="shared" ref="N5:N36" si="1">IF(ISNUMBER(D5),D5,"")</f>
        <v>28.2958631069761</v>
      </c>
      <c r="O5" s="54">
        <f t="shared" ref="O5:O36" si="2">IF(ISNUMBER(E5),E5,"")</f>
        <v>26.5722296976511</v>
      </c>
      <c r="P5" s="54">
        <f t="shared" ref="P5:P36" si="3">IF(ISNUMBER(F5),F5,"")</f>
        <v>10.6882780498446</v>
      </c>
      <c r="Q5" s="54">
        <f t="shared" ref="Q5:Q36" si="4">IF(ISNUMBER(G5),G5,"")</f>
        <v>59.652320000000003</v>
      </c>
      <c r="R5" s="54">
        <f t="shared" ref="R5:R36" si="5">IF(ISNUMBER(H5),H5,"")</f>
        <v>32.80988</v>
      </c>
      <c r="S5" s="54">
        <f t="shared" ref="S5:S36" si="6">IF(ISNUMBER(I5),I5,"")</f>
        <v>1.4279817995116599</v>
      </c>
      <c r="T5" s="54">
        <f t="shared" ref="T5:T36" si="7">IF(ISNUMBER(J5),J5,"")</f>
        <v>-0.45092475267550702</v>
      </c>
      <c r="U5" s="54">
        <f t="shared" ref="U5:U36" si="8">IF(ISNUMBER(M5),M5,"")</f>
        <v>14.075091573599252</v>
      </c>
      <c r="AB5" s="38"/>
    </row>
    <row r="6" spans="1:28" x14ac:dyDescent="0.25">
      <c r="A6" s="38" t="s">
        <v>433</v>
      </c>
      <c r="B6">
        <v>254.96</v>
      </c>
      <c r="C6">
        <v>2742632.6218025601</v>
      </c>
      <c r="D6" s="38">
        <v>30.469543602184601</v>
      </c>
      <c r="E6" s="38">
        <v>16.7416237272157</v>
      </c>
      <c r="F6">
        <v>3.6924087770775502</v>
      </c>
      <c r="G6">
        <v>50.28566</v>
      </c>
      <c r="H6">
        <v>10.833780000000001</v>
      </c>
      <c r="I6">
        <v>-9.0132377933107993E-2</v>
      </c>
      <c r="J6" s="38">
        <v>-0.20585704609113301</v>
      </c>
      <c r="K6">
        <v>742776</v>
      </c>
      <c r="L6">
        <v>524897</v>
      </c>
      <c r="M6" s="84">
        <f t="shared" si="0"/>
        <v>12.269362699788067</v>
      </c>
      <c r="N6" s="54">
        <f t="shared" si="1"/>
        <v>30.469543602184601</v>
      </c>
      <c r="O6" s="54">
        <f t="shared" si="2"/>
        <v>16.7416237272157</v>
      </c>
      <c r="P6" s="54">
        <f t="shared" si="3"/>
        <v>3.6924087770775502</v>
      </c>
      <c r="Q6" s="54">
        <f t="shared" si="4"/>
        <v>50.28566</v>
      </c>
      <c r="R6" s="54">
        <f t="shared" si="5"/>
        <v>10.833780000000001</v>
      </c>
      <c r="S6" s="54">
        <f t="shared" si="6"/>
        <v>-9.0132377933107993E-2</v>
      </c>
      <c r="T6" s="54">
        <f t="shared" si="7"/>
        <v>-0.20585704609113301</v>
      </c>
      <c r="U6" s="54">
        <f t="shared" si="8"/>
        <v>12.269362699788067</v>
      </c>
      <c r="AA6" s="38"/>
    </row>
    <row r="7" spans="1:28" x14ac:dyDescent="0.25">
      <c r="A7" s="38" t="s">
        <v>434</v>
      </c>
      <c r="B7">
        <v>4.6900000000000004</v>
      </c>
      <c r="C7">
        <v>7889.8977493000002</v>
      </c>
      <c r="D7" s="38" t="s">
        <v>297</v>
      </c>
      <c r="E7" s="38" t="s">
        <v>297</v>
      </c>
      <c r="F7">
        <v>1.3133721234025599</v>
      </c>
      <c r="G7">
        <v>54.992849999999997</v>
      </c>
      <c r="H7">
        <v>-7.7635199999999998</v>
      </c>
      <c r="I7" s="38">
        <v>7.6027228474126698</v>
      </c>
      <c r="J7" s="38">
        <v>-2.4622846429574299</v>
      </c>
      <c r="K7">
        <v>6097.0209999999997</v>
      </c>
      <c r="L7">
        <v>4527.7280000000001</v>
      </c>
      <c r="M7" s="84">
        <f t="shared" si="0"/>
        <v>10.427978140863448</v>
      </c>
      <c r="N7" s="54" t="str">
        <f t="shared" si="1"/>
        <v/>
      </c>
      <c r="O7" s="54" t="str">
        <f t="shared" si="2"/>
        <v/>
      </c>
      <c r="P7" s="54">
        <f t="shared" si="3"/>
        <v>1.3133721234025599</v>
      </c>
      <c r="Q7" s="54">
        <f t="shared" si="4"/>
        <v>54.992849999999997</v>
      </c>
      <c r="R7" s="54">
        <f t="shared" si="5"/>
        <v>-7.7635199999999998</v>
      </c>
      <c r="S7" s="54">
        <f t="shared" si="6"/>
        <v>7.6027228474126698</v>
      </c>
      <c r="T7" s="54">
        <f t="shared" si="7"/>
        <v>-2.4622846429574299</v>
      </c>
      <c r="U7" s="54">
        <f t="shared" si="8"/>
        <v>10.427978140863448</v>
      </c>
    </row>
    <row r="8" spans="1:28" x14ac:dyDescent="0.25">
      <c r="A8" s="38" t="s">
        <v>298</v>
      </c>
      <c r="B8">
        <v>74.040000000000006</v>
      </c>
      <c r="C8">
        <v>150715.75092252</v>
      </c>
      <c r="D8" s="38">
        <v>18.052774617307001</v>
      </c>
      <c r="E8">
        <v>20.435724027535699</v>
      </c>
      <c r="F8">
        <v>2.7553594031089501</v>
      </c>
      <c r="G8" s="38">
        <v>34.26764</v>
      </c>
      <c r="H8">
        <v>19.326370000000001</v>
      </c>
      <c r="I8" s="38">
        <v>6.6242141776994501</v>
      </c>
      <c r="J8" s="38">
        <v>0.5530837884641</v>
      </c>
      <c r="K8">
        <v>53687</v>
      </c>
      <c r="L8">
        <v>33846</v>
      </c>
      <c r="M8" s="84">
        <f t="shared" si="0"/>
        <v>16.623819878456203</v>
      </c>
      <c r="N8" s="54">
        <f t="shared" si="1"/>
        <v>18.052774617307001</v>
      </c>
      <c r="O8" s="54">
        <f t="shared" si="2"/>
        <v>20.435724027535699</v>
      </c>
      <c r="P8" s="54">
        <f t="shared" si="3"/>
        <v>2.7553594031089501</v>
      </c>
      <c r="Q8" s="54">
        <f t="shared" si="4"/>
        <v>34.26764</v>
      </c>
      <c r="R8" s="54">
        <f t="shared" si="5"/>
        <v>19.326370000000001</v>
      </c>
      <c r="S8" s="54">
        <f t="shared" si="6"/>
        <v>6.6242141776994501</v>
      </c>
      <c r="T8" s="54">
        <f t="shared" si="7"/>
        <v>0.5530837884641</v>
      </c>
      <c r="U8" s="54">
        <f t="shared" si="8"/>
        <v>16.623819878456203</v>
      </c>
    </row>
    <row r="9" spans="1:28" x14ac:dyDescent="0.25">
      <c r="A9" s="38" t="s">
        <v>435</v>
      </c>
      <c r="B9">
        <v>73.680000000000007</v>
      </c>
      <c r="C9">
        <v>310251.63554304</v>
      </c>
      <c r="D9">
        <v>23.808369766472499</v>
      </c>
      <c r="E9">
        <v>10.040802543008899</v>
      </c>
      <c r="F9">
        <v>6.6165853801604504</v>
      </c>
      <c r="G9">
        <v>48.486579999999996</v>
      </c>
      <c r="H9">
        <v>24.303809999999999</v>
      </c>
      <c r="I9" s="38">
        <v>3.8337287019233002</v>
      </c>
      <c r="J9" s="38">
        <v>0.17361834189067599</v>
      </c>
      <c r="K9">
        <v>46889.991999999998</v>
      </c>
      <c r="L9">
        <v>31909.286</v>
      </c>
      <c r="M9" s="84">
        <f t="shared" si="0"/>
        <v>13.689674749356984</v>
      </c>
      <c r="N9" s="54">
        <f t="shared" si="1"/>
        <v>23.808369766472499</v>
      </c>
      <c r="O9" s="54">
        <f t="shared" si="2"/>
        <v>10.040802543008899</v>
      </c>
      <c r="P9" s="54">
        <f t="shared" si="3"/>
        <v>6.6165853801604504</v>
      </c>
      <c r="Q9" s="54">
        <f t="shared" si="4"/>
        <v>48.486579999999996</v>
      </c>
      <c r="R9" s="54">
        <f t="shared" si="5"/>
        <v>24.303809999999999</v>
      </c>
      <c r="S9" s="54">
        <f t="shared" si="6"/>
        <v>3.8337287019233002</v>
      </c>
      <c r="T9" s="54">
        <f t="shared" si="7"/>
        <v>0.17361834189067599</v>
      </c>
      <c r="U9" s="54">
        <f t="shared" si="8"/>
        <v>13.689674749356984</v>
      </c>
      <c r="AB9" s="38"/>
    </row>
    <row r="10" spans="1:28" x14ac:dyDescent="0.25">
      <c r="A10" s="38" t="s">
        <v>437</v>
      </c>
      <c r="B10">
        <v>395.63</v>
      </c>
      <c r="C10">
        <v>2938911.6219435199</v>
      </c>
      <c r="D10" s="38">
        <v>23.563977960178899</v>
      </c>
      <c r="E10" s="38">
        <v>16.302087499070499</v>
      </c>
      <c r="F10">
        <v>9.2339332018220794</v>
      </c>
      <c r="G10" s="38">
        <v>68.823740000000001</v>
      </c>
      <c r="H10">
        <v>36.14602</v>
      </c>
      <c r="I10" s="38">
        <v>2.4810545324183702</v>
      </c>
      <c r="J10" s="38">
        <v>-2.8832773215553002E-2</v>
      </c>
      <c r="K10">
        <v>318273</v>
      </c>
      <c r="L10">
        <v>207591</v>
      </c>
      <c r="M10" s="84">
        <f t="shared" si="0"/>
        <v>15.309146859763612</v>
      </c>
      <c r="N10" s="54">
        <f t="shared" si="1"/>
        <v>23.563977960178899</v>
      </c>
      <c r="O10" s="54">
        <f t="shared" si="2"/>
        <v>16.302087499070499</v>
      </c>
      <c r="P10" s="54">
        <f t="shared" si="3"/>
        <v>9.2339332018220794</v>
      </c>
      <c r="Q10" s="54">
        <f t="shared" si="4"/>
        <v>68.823740000000001</v>
      </c>
      <c r="R10" s="54">
        <f t="shared" si="5"/>
        <v>36.14602</v>
      </c>
      <c r="S10" s="54">
        <f t="shared" si="6"/>
        <v>2.4810545324183702</v>
      </c>
      <c r="T10" s="54">
        <f t="shared" si="7"/>
        <v>-2.8832773215553002E-2</v>
      </c>
      <c r="U10" s="54">
        <f t="shared" si="8"/>
        <v>15.309146859763612</v>
      </c>
      <c r="AA10" s="38"/>
    </row>
    <row r="11" spans="1:28" x14ac:dyDescent="0.25">
      <c r="A11" s="38" t="s">
        <v>438</v>
      </c>
      <c r="B11">
        <v>327.5</v>
      </c>
      <c r="C11">
        <v>4810109.09</v>
      </c>
      <c r="D11" s="38">
        <v>39.7749768637157</v>
      </c>
      <c r="E11">
        <v>30.1687935765767</v>
      </c>
      <c r="F11">
        <v>10.654987994028</v>
      </c>
      <c r="G11" s="38">
        <v>46.905160000000002</v>
      </c>
      <c r="H11">
        <v>26.798279999999998</v>
      </c>
      <c r="I11" s="38">
        <v>2.6854692395344402</v>
      </c>
      <c r="J11">
        <v>0.28247810622776998</v>
      </c>
      <c r="K11">
        <v>451442</v>
      </c>
      <c r="L11">
        <v>385095</v>
      </c>
      <c r="M11" s="84">
        <f t="shared" si="0"/>
        <v>5.4414477898631963</v>
      </c>
      <c r="N11" s="54">
        <f t="shared" si="1"/>
        <v>39.7749768637157</v>
      </c>
      <c r="O11" s="54">
        <f t="shared" si="2"/>
        <v>30.1687935765767</v>
      </c>
      <c r="P11" s="54">
        <f t="shared" si="3"/>
        <v>10.654987994028</v>
      </c>
      <c r="Q11" s="54">
        <f t="shared" si="4"/>
        <v>46.905160000000002</v>
      </c>
      <c r="R11" s="54">
        <f t="shared" si="5"/>
        <v>26.798279999999998</v>
      </c>
      <c r="S11" s="54">
        <f t="shared" si="6"/>
        <v>2.6854692395344402</v>
      </c>
      <c r="T11" s="54">
        <f t="shared" si="7"/>
        <v>0.28247810622776998</v>
      </c>
      <c r="U11" s="54">
        <f t="shared" si="8"/>
        <v>5.4414477898631963</v>
      </c>
    </row>
    <row r="12" spans="1:28" x14ac:dyDescent="0.25">
      <c r="A12" s="73" t="s">
        <v>463</v>
      </c>
      <c r="B12">
        <v>99.71</v>
      </c>
      <c r="C12">
        <v>168702.08484160001</v>
      </c>
      <c r="D12">
        <v>15.546064517367901</v>
      </c>
      <c r="E12">
        <v>11.2083312589287</v>
      </c>
      <c r="F12">
        <v>1.7344939477663699</v>
      </c>
      <c r="G12">
        <v>37.764360000000003</v>
      </c>
      <c r="H12">
        <v>13.13635</v>
      </c>
      <c r="I12">
        <v>4.2145300140634401</v>
      </c>
      <c r="J12">
        <v>2.1300687018957598</v>
      </c>
      <c r="K12">
        <v>97263</v>
      </c>
      <c r="L12">
        <v>86981</v>
      </c>
      <c r="M12" s="84">
        <f t="shared" si="0"/>
        <v>3.7945192080732992</v>
      </c>
      <c r="N12" s="54">
        <f t="shared" si="1"/>
        <v>15.546064517367901</v>
      </c>
      <c r="O12" s="54">
        <f t="shared" si="2"/>
        <v>11.2083312589287</v>
      </c>
      <c r="P12" s="54">
        <f t="shared" si="3"/>
        <v>1.7344939477663699</v>
      </c>
      <c r="Q12" s="54">
        <f t="shared" si="4"/>
        <v>37.764360000000003</v>
      </c>
      <c r="R12" s="54">
        <f t="shared" si="5"/>
        <v>13.13635</v>
      </c>
      <c r="S12" s="54">
        <f t="shared" si="6"/>
        <v>4.2145300140634401</v>
      </c>
      <c r="T12" s="54">
        <f t="shared" si="7"/>
        <v>2.1300687018957598</v>
      </c>
      <c r="U12" s="54">
        <f t="shared" si="8"/>
        <v>3.7945192080732992</v>
      </c>
    </row>
    <row r="13" spans="1:28" x14ac:dyDescent="0.25">
      <c r="A13" s="38" t="s">
        <v>479</v>
      </c>
      <c r="B13">
        <v>484</v>
      </c>
      <c r="C13">
        <v>4400777.8838759996</v>
      </c>
      <c r="D13" s="38">
        <v>16.069806764004198</v>
      </c>
      <c r="E13">
        <v>11.727094419432699</v>
      </c>
      <c r="F13">
        <v>4.8460403780432104</v>
      </c>
      <c r="G13" s="38">
        <v>56.250219999999999</v>
      </c>
      <c r="H13">
        <v>29.90851</v>
      </c>
      <c r="I13" s="38">
        <v>5.42544904196152</v>
      </c>
      <c r="J13" s="38">
        <v>0.20821550127634</v>
      </c>
      <c r="K13">
        <v>768202</v>
      </c>
      <c r="L13">
        <v>569067</v>
      </c>
      <c r="M13" s="84">
        <f t="shared" si="0"/>
        <v>10.519101091521833</v>
      </c>
      <c r="N13" s="54">
        <f t="shared" si="1"/>
        <v>16.069806764004198</v>
      </c>
      <c r="O13" s="54">
        <f t="shared" si="2"/>
        <v>11.727094419432699</v>
      </c>
      <c r="P13" s="54">
        <f t="shared" si="3"/>
        <v>4.8460403780432104</v>
      </c>
      <c r="Q13" s="54">
        <f t="shared" si="4"/>
        <v>56.250219999999999</v>
      </c>
      <c r="R13" s="54">
        <f t="shared" si="5"/>
        <v>29.90851</v>
      </c>
      <c r="S13" s="54">
        <f t="shared" si="6"/>
        <v>5.42544904196152</v>
      </c>
      <c r="T13" s="54">
        <f t="shared" si="7"/>
        <v>0.20821550127634</v>
      </c>
      <c r="U13" s="54">
        <f t="shared" si="8"/>
        <v>10.519101091521833</v>
      </c>
    </row>
    <row r="14" spans="1:28" x14ac:dyDescent="0.25">
      <c r="A14" s="38" t="s">
        <v>480</v>
      </c>
      <c r="B14">
        <v>23.49</v>
      </c>
      <c r="C14">
        <v>83911.648803930002</v>
      </c>
      <c r="D14" s="38">
        <v>4.6196325533647196</v>
      </c>
      <c r="E14" s="38">
        <v>4.7320342296106901</v>
      </c>
      <c r="F14">
        <v>0.66980354734215097</v>
      </c>
      <c r="G14">
        <v>71.746949999999998</v>
      </c>
      <c r="H14">
        <v>16.165620000000001</v>
      </c>
      <c r="I14" s="38">
        <v>21.112682508951298</v>
      </c>
      <c r="J14">
        <v>2.5132468839081099</v>
      </c>
      <c r="K14">
        <v>125278</v>
      </c>
      <c r="L14">
        <v>120109</v>
      </c>
      <c r="M14" s="84">
        <f t="shared" si="0"/>
        <v>1.4144298592063898</v>
      </c>
      <c r="N14" s="54">
        <f t="shared" si="1"/>
        <v>4.6196325533647196</v>
      </c>
      <c r="O14" s="54">
        <f t="shared" si="2"/>
        <v>4.7320342296106901</v>
      </c>
      <c r="P14" s="54">
        <f t="shared" si="3"/>
        <v>0.66980354734215097</v>
      </c>
      <c r="Q14" s="54">
        <f t="shared" si="4"/>
        <v>71.746949999999998</v>
      </c>
      <c r="R14" s="54">
        <f t="shared" si="5"/>
        <v>16.165620000000001</v>
      </c>
      <c r="S14" s="54">
        <f t="shared" si="6"/>
        <v>21.112682508951298</v>
      </c>
      <c r="T14" s="54">
        <f t="shared" si="7"/>
        <v>2.5132468839081099</v>
      </c>
      <c r="U14" s="54">
        <f t="shared" si="8"/>
        <v>1.4144298592063898</v>
      </c>
    </row>
    <row r="15" spans="1:28" x14ac:dyDescent="0.25">
      <c r="A15" s="38" t="s">
        <v>481</v>
      </c>
      <c r="B15">
        <v>55.52</v>
      </c>
      <c r="C15">
        <v>48974.49697136</v>
      </c>
      <c r="D15" s="38">
        <v>10.392488656613599</v>
      </c>
      <c r="E15" s="38">
        <v>6.8940280092046997</v>
      </c>
      <c r="F15">
        <v>1.4517844599324099</v>
      </c>
      <c r="G15" s="38">
        <v>41.483780000000003</v>
      </c>
      <c r="H15">
        <v>15.77535</v>
      </c>
      <c r="I15" s="38">
        <v>11.236460485174799</v>
      </c>
      <c r="J15" s="38">
        <v>0.133643071877562</v>
      </c>
      <c r="K15">
        <v>33734</v>
      </c>
      <c r="L15">
        <v>28075</v>
      </c>
      <c r="M15" s="84">
        <f t="shared" si="0"/>
        <v>6.3120987670113093</v>
      </c>
      <c r="N15" s="54">
        <f t="shared" si="1"/>
        <v>10.392488656613599</v>
      </c>
      <c r="O15" s="54">
        <f t="shared" si="2"/>
        <v>6.8940280092046997</v>
      </c>
      <c r="P15" s="54">
        <f t="shared" si="3"/>
        <v>1.4517844599324099</v>
      </c>
      <c r="Q15" s="54">
        <f t="shared" si="4"/>
        <v>41.483780000000003</v>
      </c>
      <c r="R15" s="54">
        <f t="shared" si="5"/>
        <v>15.77535</v>
      </c>
      <c r="S15" s="54">
        <f t="shared" si="6"/>
        <v>11.236460485174799</v>
      </c>
      <c r="T15" s="54">
        <f t="shared" si="7"/>
        <v>0.133643071877562</v>
      </c>
      <c r="U15" s="54">
        <f t="shared" si="8"/>
        <v>6.3120987670113093</v>
      </c>
    </row>
    <row r="16" spans="1:28" x14ac:dyDescent="0.25">
      <c r="A16" s="38" t="s">
        <v>442</v>
      </c>
      <c r="B16">
        <v>21.98</v>
      </c>
      <c r="C16">
        <v>152724.4875933</v>
      </c>
      <c r="D16" s="38">
        <v>7.1739181376602303</v>
      </c>
      <c r="E16" s="38">
        <v>6.2953768159955796</v>
      </c>
      <c r="F16">
        <v>1.1768375476894499</v>
      </c>
      <c r="G16">
        <v>59.553669999999997</v>
      </c>
      <c r="H16">
        <v>17.42089</v>
      </c>
      <c r="I16" s="38">
        <v>11.651888483172501</v>
      </c>
      <c r="J16">
        <v>2.9152626043656502</v>
      </c>
      <c r="K16">
        <v>126528</v>
      </c>
      <c r="L16">
        <v>121168</v>
      </c>
      <c r="M16" s="84">
        <f t="shared" si="0"/>
        <v>1.4533132192083631</v>
      </c>
      <c r="N16" s="54">
        <f t="shared" si="1"/>
        <v>7.1739181376602303</v>
      </c>
      <c r="O16" s="54">
        <f t="shared" si="2"/>
        <v>6.2953768159955796</v>
      </c>
      <c r="P16" s="54">
        <f t="shared" si="3"/>
        <v>1.1768375476894499</v>
      </c>
      <c r="Q16" s="54">
        <f t="shared" si="4"/>
        <v>59.553669999999997</v>
      </c>
      <c r="R16" s="54">
        <f t="shared" si="5"/>
        <v>17.42089</v>
      </c>
      <c r="S16" s="54">
        <f t="shared" si="6"/>
        <v>11.651888483172501</v>
      </c>
      <c r="T16" s="54">
        <f t="shared" si="7"/>
        <v>2.9152626043656502</v>
      </c>
      <c r="U16" s="54">
        <f t="shared" si="8"/>
        <v>1.4533132192083631</v>
      </c>
    </row>
    <row r="17" spans="1:21" x14ac:dyDescent="0.25">
      <c r="A17" s="38" t="s">
        <v>482</v>
      </c>
      <c r="B17">
        <v>111.77</v>
      </c>
      <c r="C17">
        <v>440534.15250705002</v>
      </c>
      <c r="D17" s="38">
        <v>37.244872457055301</v>
      </c>
      <c r="E17" s="38">
        <v>26.141225090854601</v>
      </c>
      <c r="F17">
        <v>7.2520684902224097</v>
      </c>
      <c r="G17">
        <v>64.938040000000001</v>
      </c>
      <c r="H17">
        <v>16.697849999999999</v>
      </c>
      <c r="I17" s="38">
        <v>2.6758424818859798</v>
      </c>
      <c r="J17" s="38">
        <v>0.68816401539079997</v>
      </c>
      <c r="K17">
        <v>60746</v>
      </c>
      <c r="L17" s="38">
        <v>54897</v>
      </c>
      <c r="M17" s="84">
        <f t="shared" si="0"/>
        <v>3.4323418890188861</v>
      </c>
      <c r="N17" s="54">
        <f t="shared" si="1"/>
        <v>37.244872457055301</v>
      </c>
      <c r="O17" s="54">
        <f t="shared" si="2"/>
        <v>26.141225090854601</v>
      </c>
      <c r="P17" s="54">
        <f t="shared" si="3"/>
        <v>7.2520684902224097</v>
      </c>
      <c r="Q17" s="54">
        <f t="shared" si="4"/>
        <v>64.938040000000001</v>
      </c>
      <c r="R17" s="54">
        <f t="shared" si="5"/>
        <v>16.697849999999999</v>
      </c>
      <c r="S17" s="54">
        <f t="shared" si="6"/>
        <v>2.6758424818859798</v>
      </c>
      <c r="T17" s="54">
        <f t="shared" si="7"/>
        <v>0.68816401539079997</v>
      </c>
      <c r="U17" s="54">
        <f t="shared" si="8"/>
        <v>3.4323418890188861</v>
      </c>
    </row>
    <row r="18" spans="1:21" x14ac:dyDescent="0.25">
      <c r="A18" s="38" t="s">
        <v>443</v>
      </c>
      <c r="B18">
        <v>43.88</v>
      </c>
      <c r="C18">
        <v>183223.5249708</v>
      </c>
      <c r="D18" s="38">
        <v>10.4367447493402</v>
      </c>
      <c r="E18">
        <v>6.7715677186950503</v>
      </c>
      <c r="F18">
        <v>1.2852628757944899</v>
      </c>
      <c r="G18">
        <v>59.07114</v>
      </c>
      <c r="H18">
        <v>12.42773</v>
      </c>
      <c r="I18" s="38">
        <v>11.1055078080512</v>
      </c>
      <c r="J18" s="38">
        <v>2.7614336015107099</v>
      </c>
      <c r="K18" s="38">
        <v>139146</v>
      </c>
      <c r="L18">
        <v>136193</v>
      </c>
      <c r="M18" s="84">
        <f t="shared" si="0"/>
        <v>0.71758721314034712</v>
      </c>
      <c r="N18" s="54">
        <f t="shared" si="1"/>
        <v>10.4367447493402</v>
      </c>
      <c r="O18" s="54">
        <f t="shared" si="2"/>
        <v>6.7715677186950503</v>
      </c>
      <c r="P18" s="54">
        <f t="shared" si="3"/>
        <v>1.2852628757944899</v>
      </c>
      <c r="Q18" s="54">
        <f t="shared" si="4"/>
        <v>59.07114</v>
      </c>
      <c r="R18" s="54">
        <f t="shared" si="5"/>
        <v>12.42773</v>
      </c>
      <c r="S18" s="54">
        <f t="shared" si="6"/>
        <v>11.1055078080512</v>
      </c>
      <c r="T18" s="54">
        <f t="shared" si="7"/>
        <v>2.7614336015107099</v>
      </c>
      <c r="U18" s="54">
        <f t="shared" si="8"/>
        <v>0.71758721314034712</v>
      </c>
    </row>
    <row r="19" spans="1:21" x14ac:dyDescent="0.25">
      <c r="A19" s="38" t="s">
        <v>444</v>
      </c>
      <c r="B19">
        <v>190.16</v>
      </c>
      <c r="C19">
        <v>82856.272175520004</v>
      </c>
      <c r="D19" s="38">
        <v>90.583006635576794</v>
      </c>
      <c r="E19" s="38">
        <v>42.225881949113997</v>
      </c>
      <c r="F19" s="38">
        <v>5.6284404711310501</v>
      </c>
      <c r="G19" s="38">
        <v>50.87847</v>
      </c>
      <c r="H19" s="38">
        <v>6.8163600000000004</v>
      </c>
      <c r="I19" s="38">
        <v>2.1145049783179002</v>
      </c>
      <c r="J19" s="38">
        <v>-1.46044303797468</v>
      </c>
      <c r="K19">
        <v>14721</v>
      </c>
      <c r="L19">
        <v>7162</v>
      </c>
      <c r="M19" s="84">
        <f t="shared" si="0"/>
        <v>27.145501366764989</v>
      </c>
      <c r="N19" s="54">
        <f t="shared" si="1"/>
        <v>90.583006635576794</v>
      </c>
      <c r="O19" s="54">
        <f t="shared" si="2"/>
        <v>42.225881949113997</v>
      </c>
      <c r="P19" s="54">
        <f t="shared" si="3"/>
        <v>5.6284404711310501</v>
      </c>
      <c r="Q19" s="54">
        <f t="shared" si="4"/>
        <v>50.87847</v>
      </c>
      <c r="R19" s="54">
        <f t="shared" si="5"/>
        <v>6.8163600000000004</v>
      </c>
      <c r="S19" s="54">
        <f t="shared" si="6"/>
        <v>2.1145049783179002</v>
      </c>
      <c r="T19" s="54">
        <f t="shared" si="7"/>
        <v>-1.46044303797468</v>
      </c>
      <c r="U19" s="54">
        <f t="shared" si="8"/>
        <v>27.145501366764989</v>
      </c>
    </row>
    <row r="20" spans="1:21" x14ac:dyDescent="0.25">
      <c r="A20" s="38" t="s">
        <v>445</v>
      </c>
      <c r="B20">
        <v>23.09</v>
      </c>
      <c r="C20">
        <v>12934.03268043</v>
      </c>
      <c r="D20" s="38">
        <v>58.570368538214197</v>
      </c>
      <c r="E20" s="38">
        <v>36.957899659600301</v>
      </c>
      <c r="F20">
        <v>3.0323815764879098</v>
      </c>
      <c r="G20" s="38">
        <v>80.067089999999993</v>
      </c>
      <c r="H20">
        <v>9.8739500000000007</v>
      </c>
      <c r="I20" s="38">
        <v>9.1006195411529696</v>
      </c>
      <c r="J20" s="38">
        <v>-7.0430923738345497</v>
      </c>
      <c r="K20">
        <v>4374.2929999999997</v>
      </c>
      <c r="L20">
        <v>2830.27</v>
      </c>
      <c r="M20" s="84">
        <f t="shared" si="0"/>
        <v>15.618323379076893</v>
      </c>
      <c r="N20" s="54">
        <f t="shared" si="1"/>
        <v>58.570368538214197</v>
      </c>
      <c r="O20" s="54">
        <f t="shared" si="2"/>
        <v>36.957899659600301</v>
      </c>
      <c r="P20" s="54">
        <f t="shared" si="3"/>
        <v>3.0323815764879098</v>
      </c>
      <c r="Q20" s="54">
        <f t="shared" si="4"/>
        <v>80.067089999999993</v>
      </c>
      <c r="R20" s="54">
        <f t="shared" si="5"/>
        <v>9.8739500000000007</v>
      </c>
      <c r="S20" s="54">
        <f t="shared" si="6"/>
        <v>9.1006195411529696</v>
      </c>
      <c r="T20" s="54">
        <f t="shared" si="7"/>
        <v>-7.0430923738345497</v>
      </c>
      <c r="U20" s="54">
        <f t="shared" si="8"/>
        <v>15.618323379076893</v>
      </c>
    </row>
    <row r="21" spans="1:21" x14ac:dyDescent="0.25">
      <c r="A21" s="38" t="s">
        <v>299</v>
      </c>
      <c r="B21">
        <v>16.23</v>
      </c>
      <c r="C21">
        <v>6162.24749436</v>
      </c>
      <c r="D21" s="38">
        <v>2.3302994930198699</v>
      </c>
      <c r="E21" s="38">
        <v>25.351910023981301</v>
      </c>
      <c r="F21">
        <v>0.94562629256643704</v>
      </c>
      <c r="G21" s="38">
        <v>33.885170000000002</v>
      </c>
      <c r="H21">
        <v>45.026769999999999</v>
      </c>
      <c r="I21" s="38">
        <v>18.209882044287198</v>
      </c>
      <c r="J21" s="38">
        <v>-3.23791687412354</v>
      </c>
      <c r="K21">
        <v>6516.5780000000004</v>
      </c>
      <c r="L21">
        <v>4220.1080000000002</v>
      </c>
      <c r="M21" s="84">
        <f t="shared" si="0"/>
        <v>15.58425483587602</v>
      </c>
      <c r="N21" s="54">
        <f t="shared" si="1"/>
        <v>2.3302994930198699</v>
      </c>
      <c r="O21" s="54">
        <f t="shared" si="2"/>
        <v>25.351910023981301</v>
      </c>
      <c r="P21" s="54">
        <f t="shared" si="3"/>
        <v>0.94562629256643704</v>
      </c>
      <c r="Q21" s="54">
        <f t="shared" si="4"/>
        <v>33.885170000000002</v>
      </c>
      <c r="R21" s="54">
        <f t="shared" si="5"/>
        <v>45.026769999999999</v>
      </c>
      <c r="S21" s="54">
        <f t="shared" si="6"/>
        <v>18.209882044287198</v>
      </c>
      <c r="T21" s="54">
        <f t="shared" si="7"/>
        <v>-3.23791687412354</v>
      </c>
      <c r="U21" s="54">
        <f t="shared" si="8"/>
        <v>15.58425483587602</v>
      </c>
    </row>
    <row r="22" spans="1:21" x14ac:dyDescent="0.25">
      <c r="A22" s="38" t="s">
        <v>446</v>
      </c>
      <c r="B22">
        <v>148.38</v>
      </c>
      <c r="C22">
        <v>88064.260474740004</v>
      </c>
      <c r="D22" s="38">
        <v>36.562557752725901</v>
      </c>
      <c r="E22" s="38">
        <v>28.506083656892901</v>
      </c>
      <c r="F22">
        <v>6.9632529829002898</v>
      </c>
      <c r="G22">
        <v>72.118290000000002</v>
      </c>
      <c r="H22">
        <v>20.513030000000001</v>
      </c>
      <c r="I22" s="38">
        <v>5.1837146822000602</v>
      </c>
      <c r="J22" s="38">
        <v>-3.27223230490018</v>
      </c>
      <c r="K22">
        <v>12647</v>
      </c>
      <c r="L22">
        <v>8708.0630000000001</v>
      </c>
      <c r="M22" s="84">
        <f t="shared" si="0"/>
        <v>13.24576904770478</v>
      </c>
      <c r="N22" s="54">
        <f t="shared" si="1"/>
        <v>36.562557752725901</v>
      </c>
      <c r="O22" s="54">
        <f t="shared" si="2"/>
        <v>28.506083656892901</v>
      </c>
      <c r="P22" s="54">
        <f t="shared" si="3"/>
        <v>6.9632529829002898</v>
      </c>
      <c r="Q22" s="54">
        <f t="shared" si="4"/>
        <v>72.118290000000002</v>
      </c>
      <c r="R22" s="54">
        <f t="shared" si="5"/>
        <v>20.513030000000001</v>
      </c>
      <c r="S22" s="54">
        <f t="shared" si="6"/>
        <v>5.1837146822000602</v>
      </c>
      <c r="T22" s="54">
        <f t="shared" si="7"/>
        <v>-3.27223230490018</v>
      </c>
      <c r="U22" s="54">
        <f t="shared" si="8"/>
        <v>13.24576904770478</v>
      </c>
    </row>
    <row r="23" spans="1:21" x14ac:dyDescent="0.25">
      <c r="A23" s="38" t="s">
        <v>448</v>
      </c>
      <c r="B23">
        <v>47.61</v>
      </c>
      <c r="C23">
        <v>11189.769444539999</v>
      </c>
      <c r="D23" s="38">
        <v>26.633922028228302</v>
      </c>
      <c r="E23" s="38">
        <v>14.057515695847499</v>
      </c>
      <c r="F23">
        <v>2.89590306535715</v>
      </c>
      <c r="G23">
        <v>66.809190000000001</v>
      </c>
      <c r="H23">
        <v>11.704969999999999</v>
      </c>
      <c r="I23" s="38">
        <v>7.9000734052777499</v>
      </c>
      <c r="J23" s="38" t="s">
        <v>297</v>
      </c>
      <c r="K23">
        <v>3864</v>
      </c>
      <c r="L23">
        <v>2805</v>
      </c>
      <c r="M23" s="84">
        <f t="shared" si="0"/>
        <v>11.26743691880443</v>
      </c>
      <c r="N23" s="54">
        <f t="shared" si="1"/>
        <v>26.633922028228302</v>
      </c>
      <c r="O23" s="54">
        <f t="shared" si="2"/>
        <v>14.057515695847499</v>
      </c>
      <c r="P23" s="54">
        <f t="shared" si="3"/>
        <v>2.89590306535715</v>
      </c>
      <c r="Q23" s="54">
        <f t="shared" si="4"/>
        <v>66.809190000000001</v>
      </c>
      <c r="R23" s="54">
        <f t="shared" si="5"/>
        <v>11.704969999999999</v>
      </c>
      <c r="S23" s="54">
        <f t="shared" si="6"/>
        <v>7.9000734052777499</v>
      </c>
      <c r="T23" s="54" t="str">
        <f t="shared" si="7"/>
        <v/>
      </c>
      <c r="U23" s="54">
        <f t="shared" si="8"/>
        <v>11.26743691880443</v>
      </c>
    </row>
    <row r="24" spans="1:21" x14ac:dyDescent="0.25">
      <c r="A24" s="38" t="s">
        <v>450</v>
      </c>
      <c r="B24">
        <v>19.12</v>
      </c>
      <c r="C24">
        <v>9105.9989525700003</v>
      </c>
      <c r="D24" s="38">
        <v>21.827565612287401</v>
      </c>
      <c r="E24" s="38">
        <v>10.624527700146</v>
      </c>
      <c r="F24">
        <v>3.0669016249158001</v>
      </c>
      <c r="G24" s="38">
        <v>78.625470000000007</v>
      </c>
      <c r="H24">
        <v>15.305960000000001</v>
      </c>
      <c r="I24" s="38">
        <v>9.1075455237773397</v>
      </c>
      <c r="J24" s="38">
        <v>-1.7979499024485801</v>
      </c>
      <c r="K24">
        <v>2969.12</v>
      </c>
      <c r="L24">
        <v>1645.2750000000001</v>
      </c>
      <c r="M24" s="84">
        <f t="shared" si="0"/>
        <v>21.748349941237578</v>
      </c>
      <c r="N24" s="54">
        <f t="shared" si="1"/>
        <v>21.827565612287401</v>
      </c>
      <c r="O24" s="54">
        <f t="shared" si="2"/>
        <v>10.624527700146</v>
      </c>
      <c r="P24" s="54">
        <f t="shared" si="3"/>
        <v>3.0669016249158001</v>
      </c>
      <c r="Q24" s="54">
        <f t="shared" si="4"/>
        <v>78.625470000000007</v>
      </c>
      <c r="R24" s="54">
        <f t="shared" si="5"/>
        <v>15.305960000000001</v>
      </c>
      <c r="S24" s="54">
        <f t="shared" si="6"/>
        <v>9.1075455237773397</v>
      </c>
      <c r="T24" s="54">
        <f t="shared" si="7"/>
        <v>-1.7979499024485801</v>
      </c>
      <c r="U24" s="54">
        <f t="shared" si="8"/>
        <v>21.748349941237578</v>
      </c>
    </row>
    <row r="25" spans="1:21" x14ac:dyDescent="0.25">
      <c r="A25" s="38" t="s">
        <v>447</v>
      </c>
      <c r="B25">
        <v>185.26</v>
      </c>
      <c r="C25">
        <v>35664.224750399997</v>
      </c>
      <c r="D25" s="38">
        <v>56.6810542223851</v>
      </c>
      <c r="E25" s="38">
        <v>55.481165984293497</v>
      </c>
      <c r="F25">
        <v>15.412048561342401</v>
      </c>
      <c r="G25">
        <v>91.182040000000001</v>
      </c>
      <c r="H25">
        <v>24.050830000000001</v>
      </c>
      <c r="I25" s="38">
        <v>2.2787894666661499</v>
      </c>
      <c r="J25" s="38">
        <v>-3.88709611605994</v>
      </c>
      <c r="K25">
        <v>2473.556</v>
      </c>
      <c r="L25">
        <v>684.25900000000001</v>
      </c>
      <c r="M25" s="84">
        <f t="shared" si="0"/>
        <v>53.473622081918101</v>
      </c>
      <c r="N25" s="54">
        <f t="shared" si="1"/>
        <v>56.6810542223851</v>
      </c>
      <c r="O25" s="54">
        <f t="shared" si="2"/>
        <v>55.481165984293497</v>
      </c>
      <c r="P25" s="54">
        <f t="shared" si="3"/>
        <v>15.412048561342401</v>
      </c>
      <c r="Q25" s="54">
        <f t="shared" si="4"/>
        <v>91.182040000000001</v>
      </c>
      <c r="R25" s="54">
        <f t="shared" si="5"/>
        <v>24.050830000000001</v>
      </c>
      <c r="S25" s="54">
        <f t="shared" si="6"/>
        <v>2.2787894666661499</v>
      </c>
      <c r="T25" s="54">
        <f t="shared" si="7"/>
        <v>-3.88709611605994</v>
      </c>
      <c r="U25" s="54">
        <f t="shared" si="8"/>
        <v>53.473622081918101</v>
      </c>
    </row>
    <row r="26" spans="1:21" x14ac:dyDescent="0.25">
      <c r="A26" s="38" t="s">
        <v>449</v>
      </c>
      <c r="B26">
        <v>182.8</v>
      </c>
      <c r="C26">
        <v>141647.7781008</v>
      </c>
      <c r="D26" s="38">
        <v>24.031951452302899</v>
      </c>
      <c r="E26" s="38">
        <v>13.9991037127807</v>
      </c>
      <c r="F26">
        <v>5.1160392278253397</v>
      </c>
      <c r="G26" s="38" t="s">
        <v>297</v>
      </c>
      <c r="H26">
        <v>20.076530000000002</v>
      </c>
      <c r="I26" s="38">
        <v>6.3770855576512497</v>
      </c>
      <c r="J26" s="38">
        <v>0.14957721838856999</v>
      </c>
      <c r="K26" s="38">
        <v>27687</v>
      </c>
      <c r="L26" s="38">
        <v>18173</v>
      </c>
      <c r="M26" s="84">
        <f t="shared" si="0"/>
        <v>15.06672647040399</v>
      </c>
      <c r="N26" s="54">
        <f t="shared" si="1"/>
        <v>24.031951452302899</v>
      </c>
      <c r="O26" s="54">
        <f t="shared" si="2"/>
        <v>13.9991037127807</v>
      </c>
      <c r="P26" s="54">
        <f t="shared" si="3"/>
        <v>5.1160392278253397</v>
      </c>
      <c r="Q26" s="54" t="str">
        <f t="shared" si="4"/>
        <v/>
      </c>
      <c r="R26" s="54">
        <f t="shared" si="5"/>
        <v>20.076530000000002</v>
      </c>
      <c r="S26" s="54">
        <f t="shared" si="6"/>
        <v>6.3770855576512497</v>
      </c>
      <c r="T26" s="54">
        <f t="shared" si="7"/>
        <v>0.14957721838856999</v>
      </c>
      <c r="U26" s="54">
        <f t="shared" si="8"/>
        <v>15.06672647040399</v>
      </c>
    </row>
    <row r="27" spans="1:21" x14ac:dyDescent="0.25">
      <c r="A27" s="38" t="s">
        <v>436</v>
      </c>
      <c r="B27">
        <v>112.76</v>
      </c>
      <c r="C27">
        <v>50065.440000000002</v>
      </c>
      <c r="D27" s="38">
        <v>26.055892153192701</v>
      </c>
      <c r="E27">
        <v>16.055015160703501</v>
      </c>
      <c r="F27">
        <v>4.3144984488107498</v>
      </c>
      <c r="G27">
        <v>71.783779999999993</v>
      </c>
      <c r="H27">
        <v>17.3964</v>
      </c>
      <c r="I27" s="38">
        <v>3.3695898807640599</v>
      </c>
      <c r="J27" s="38">
        <v>1.1604002425712601</v>
      </c>
      <c r="K27" s="38">
        <v>11604</v>
      </c>
      <c r="L27">
        <v>9822</v>
      </c>
      <c r="M27" s="84">
        <f t="shared" si="0"/>
        <v>5.7148334981562687</v>
      </c>
      <c r="N27" s="54">
        <f t="shared" si="1"/>
        <v>26.055892153192701</v>
      </c>
      <c r="O27" s="54">
        <f t="shared" si="2"/>
        <v>16.055015160703501</v>
      </c>
      <c r="P27" s="54">
        <f t="shared" si="3"/>
        <v>4.3144984488107498</v>
      </c>
      <c r="Q27" s="54">
        <f t="shared" si="4"/>
        <v>71.783779999999993</v>
      </c>
      <c r="R27" s="54">
        <f t="shared" si="5"/>
        <v>17.3964</v>
      </c>
      <c r="S27" s="54">
        <f t="shared" si="6"/>
        <v>3.3695898807640599</v>
      </c>
      <c r="T27" s="54">
        <f t="shared" si="7"/>
        <v>1.1604002425712601</v>
      </c>
      <c r="U27" s="54">
        <f t="shared" si="8"/>
        <v>5.7148334981562687</v>
      </c>
    </row>
    <row r="28" spans="1:21" x14ac:dyDescent="0.25">
      <c r="A28" s="38" t="s">
        <v>451</v>
      </c>
      <c r="B28">
        <v>267.11</v>
      </c>
      <c r="C28">
        <v>32059.096987469999</v>
      </c>
      <c r="D28" s="38">
        <v>23.524987427681701</v>
      </c>
      <c r="E28" s="38">
        <v>9.5621927637388104</v>
      </c>
      <c r="F28">
        <v>2.11318284803045</v>
      </c>
      <c r="G28" s="38">
        <v>90.117419999999996</v>
      </c>
      <c r="H28">
        <v>8.7829999999999995</v>
      </c>
      <c r="I28" s="38">
        <v>12.7920009774537</v>
      </c>
      <c r="J28" s="38">
        <v>0.505379557680813</v>
      </c>
      <c r="K28">
        <v>15171</v>
      </c>
      <c r="L28">
        <v>12083</v>
      </c>
      <c r="M28" s="84">
        <f t="shared" si="0"/>
        <v>7.8813761213989864</v>
      </c>
      <c r="N28" s="54">
        <f t="shared" si="1"/>
        <v>23.524987427681701</v>
      </c>
      <c r="O28" s="54">
        <f t="shared" si="2"/>
        <v>9.5621927637388104</v>
      </c>
      <c r="P28" s="54">
        <f t="shared" si="3"/>
        <v>2.11318284803045</v>
      </c>
      <c r="Q28" s="54">
        <f t="shared" si="4"/>
        <v>90.117419999999996</v>
      </c>
      <c r="R28" s="54">
        <f t="shared" si="5"/>
        <v>8.7829999999999995</v>
      </c>
      <c r="S28" s="54">
        <f t="shared" si="6"/>
        <v>12.7920009774537</v>
      </c>
      <c r="T28" s="54">
        <f t="shared" si="7"/>
        <v>0.505379557680813</v>
      </c>
      <c r="U28" s="54">
        <f t="shared" si="8"/>
        <v>7.8813761213989864</v>
      </c>
    </row>
    <row r="29" spans="1:21" x14ac:dyDescent="0.25">
      <c r="A29" s="38" t="s">
        <v>452</v>
      </c>
      <c r="B29">
        <v>476.08</v>
      </c>
      <c r="C29">
        <v>97891.598640879994</v>
      </c>
      <c r="D29">
        <v>33.032387987511903</v>
      </c>
      <c r="E29">
        <v>31.3306398295503</v>
      </c>
      <c r="F29">
        <v>4.96696319765302</v>
      </c>
      <c r="G29">
        <v>31.979520000000001</v>
      </c>
      <c r="H29">
        <v>12.870939999999999</v>
      </c>
      <c r="I29" s="38">
        <v>3.71631177386669</v>
      </c>
      <c r="J29" s="38">
        <v>-2.98885793871866</v>
      </c>
      <c r="K29">
        <v>17529</v>
      </c>
      <c r="L29">
        <v>12108</v>
      </c>
      <c r="M29" s="84">
        <f t="shared" si="0"/>
        <v>13.125777283977502</v>
      </c>
      <c r="N29" s="54">
        <f t="shared" si="1"/>
        <v>33.032387987511903</v>
      </c>
      <c r="O29" s="54">
        <f t="shared" si="2"/>
        <v>31.3306398295503</v>
      </c>
      <c r="P29" s="54">
        <f t="shared" si="3"/>
        <v>4.96696319765302</v>
      </c>
      <c r="Q29" s="54">
        <f t="shared" si="4"/>
        <v>31.979520000000001</v>
      </c>
      <c r="R29" s="54">
        <f t="shared" si="5"/>
        <v>12.870939999999999</v>
      </c>
      <c r="S29" s="54">
        <f t="shared" si="6"/>
        <v>3.71631177386669</v>
      </c>
      <c r="T29" s="54">
        <f t="shared" si="7"/>
        <v>-2.98885793871866</v>
      </c>
      <c r="U29" s="54">
        <f t="shared" si="8"/>
        <v>13.125777283977502</v>
      </c>
    </row>
    <row r="30" spans="1:21" x14ac:dyDescent="0.25">
      <c r="A30" s="38" t="s">
        <v>454</v>
      </c>
      <c r="B30">
        <v>123.55</v>
      </c>
      <c r="C30">
        <v>160325.22694195001</v>
      </c>
      <c r="D30" s="38">
        <v>121.379730420089</v>
      </c>
      <c r="E30">
        <v>91.468773338432001</v>
      </c>
      <c r="F30">
        <v>12.9650029873807</v>
      </c>
      <c r="G30">
        <v>48.070270000000001</v>
      </c>
      <c r="H30">
        <v>10.652469999999999</v>
      </c>
      <c r="I30" s="38">
        <v>1.3223121778381199</v>
      </c>
      <c r="J30" s="38">
        <v>-3.4189349112426002</v>
      </c>
      <c r="K30">
        <v>12366</v>
      </c>
      <c r="L30">
        <v>5904.241</v>
      </c>
      <c r="M30" s="84">
        <f t="shared" si="0"/>
        <v>27.944529616186387</v>
      </c>
      <c r="N30" s="54">
        <f t="shared" si="1"/>
        <v>121.379730420089</v>
      </c>
      <c r="O30" s="54">
        <f t="shared" si="2"/>
        <v>91.468773338432001</v>
      </c>
      <c r="P30" s="54">
        <f t="shared" si="3"/>
        <v>12.9650029873807</v>
      </c>
      <c r="Q30" s="54">
        <f t="shared" si="4"/>
        <v>48.070270000000001</v>
      </c>
      <c r="R30" s="54">
        <f t="shared" si="5"/>
        <v>10.652469999999999</v>
      </c>
      <c r="S30" s="54">
        <f t="shared" si="6"/>
        <v>1.3223121778381199</v>
      </c>
      <c r="T30" s="54">
        <f t="shared" si="7"/>
        <v>-3.4189349112426002</v>
      </c>
      <c r="U30" s="54">
        <f t="shared" si="8"/>
        <v>27.944529616186387</v>
      </c>
    </row>
    <row r="31" spans="1:21" x14ac:dyDescent="0.25">
      <c r="A31" s="38" t="s">
        <v>455</v>
      </c>
      <c r="B31">
        <v>143.32</v>
      </c>
      <c r="C31">
        <v>21260.399231120002</v>
      </c>
      <c r="D31" s="38">
        <v>107.781278906244</v>
      </c>
      <c r="E31">
        <v>104.60165450270399</v>
      </c>
      <c r="F31">
        <v>4.2816592610631297</v>
      </c>
      <c r="G31">
        <v>43.789619999999999</v>
      </c>
      <c r="H31">
        <v>1.86524</v>
      </c>
      <c r="I31" s="38">
        <v>2.5288471498363201</v>
      </c>
      <c r="J31" s="38">
        <v>-12.838406391277401</v>
      </c>
      <c r="K31" s="38">
        <v>4965.4579999999996</v>
      </c>
      <c r="L31">
        <v>3133.8249999999998</v>
      </c>
      <c r="M31" s="84">
        <f t="shared" si="0"/>
        <v>16.581111241319356</v>
      </c>
      <c r="N31" s="54">
        <f t="shared" si="1"/>
        <v>107.781278906244</v>
      </c>
      <c r="O31" s="54">
        <f t="shared" si="2"/>
        <v>104.60165450270399</v>
      </c>
      <c r="P31" s="54">
        <f t="shared" si="3"/>
        <v>4.2816592610631297</v>
      </c>
      <c r="Q31" s="54">
        <f t="shared" si="4"/>
        <v>43.789619999999999</v>
      </c>
      <c r="R31" s="54">
        <f t="shared" si="5"/>
        <v>1.86524</v>
      </c>
      <c r="S31" s="54">
        <f t="shared" si="6"/>
        <v>2.5288471498363201</v>
      </c>
      <c r="T31" s="54">
        <f t="shared" si="7"/>
        <v>-12.838406391277401</v>
      </c>
      <c r="U31" s="54">
        <f t="shared" si="8"/>
        <v>16.581111241319356</v>
      </c>
    </row>
    <row r="32" spans="1:21" x14ac:dyDescent="0.25">
      <c r="A32" s="38" t="s">
        <v>456</v>
      </c>
      <c r="B32">
        <v>40.11</v>
      </c>
      <c r="C32">
        <v>9356.3203578600005</v>
      </c>
      <c r="D32" s="38">
        <v>15.3062392673154</v>
      </c>
      <c r="E32" s="38">
        <v>10.8089637467109</v>
      </c>
      <c r="F32">
        <v>2.6580810476333099</v>
      </c>
      <c r="G32">
        <v>72.879850000000005</v>
      </c>
      <c r="H32">
        <v>17.591380000000001</v>
      </c>
      <c r="I32" s="38">
        <v>10.9006421433957</v>
      </c>
      <c r="J32">
        <v>2.5834161833262499</v>
      </c>
      <c r="K32">
        <v>3519.953</v>
      </c>
      <c r="L32">
        <v>3177.3359999999998</v>
      </c>
      <c r="M32" s="84">
        <f t="shared" si="0"/>
        <v>3.4724122075198816</v>
      </c>
      <c r="N32" s="54">
        <f t="shared" si="1"/>
        <v>15.3062392673154</v>
      </c>
      <c r="O32" s="54">
        <f t="shared" si="2"/>
        <v>10.8089637467109</v>
      </c>
      <c r="P32" s="54">
        <f t="shared" si="3"/>
        <v>2.6580810476333099</v>
      </c>
      <c r="Q32" s="54">
        <f t="shared" si="4"/>
        <v>72.879850000000005</v>
      </c>
      <c r="R32" s="54">
        <f t="shared" si="5"/>
        <v>17.591380000000001</v>
      </c>
      <c r="S32" s="54">
        <f t="shared" si="6"/>
        <v>10.9006421433957</v>
      </c>
      <c r="T32" s="54">
        <f t="shared" si="7"/>
        <v>2.5834161833262499</v>
      </c>
      <c r="U32" s="54">
        <f t="shared" si="8"/>
        <v>3.4724122075198816</v>
      </c>
    </row>
    <row r="33" spans="1:21" x14ac:dyDescent="0.25">
      <c r="A33" s="38" t="s">
        <v>457</v>
      </c>
      <c r="B33">
        <v>83.48</v>
      </c>
      <c r="C33">
        <v>8136.4028459399997</v>
      </c>
      <c r="D33" s="38">
        <v>33.177519463835203</v>
      </c>
      <c r="E33">
        <v>19.529076560384699</v>
      </c>
      <c r="F33">
        <v>2.84131762931441</v>
      </c>
      <c r="G33">
        <v>71.638639999999995</v>
      </c>
      <c r="H33">
        <v>5.6522300000000003</v>
      </c>
      <c r="I33" s="38">
        <v>8.28814665115185</v>
      </c>
      <c r="J33">
        <v>2.9050846104725401</v>
      </c>
      <c r="K33">
        <v>2863.6019999999999</v>
      </c>
      <c r="L33">
        <v>2627.7220000000002</v>
      </c>
      <c r="M33" s="84">
        <f t="shared" si="0"/>
        <v>2.9068805097183015</v>
      </c>
      <c r="N33" s="54">
        <f t="shared" si="1"/>
        <v>33.177519463835203</v>
      </c>
      <c r="O33" s="54">
        <f t="shared" si="2"/>
        <v>19.529076560384699</v>
      </c>
      <c r="P33" s="54">
        <f t="shared" si="3"/>
        <v>2.84131762931441</v>
      </c>
      <c r="Q33" s="54">
        <f t="shared" si="4"/>
        <v>71.638639999999995</v>
      </c>
      <c r="R33" s="54">
        <f t="shared" si="5"/>
        <v>5.6522300000000003</v>
      </c>
      <c r="S33" s="54">
        <f t="shared" si="6"/>
        <v>8.28814665115185</v>
      </c>
      <c r="T33" s="54">
        <f t="shared" si="7"/>
        <v>2.9050846104725401</v>
      </c>
      <c r="U33" s="54">
        <f t="shared" si="8"/>
        <v>2.9068805097183015</v>
      </c>
    </row>
    <row r="34" spans="1:21" x14ac:dyDescent="0.25">
      <c r="A34" s="38" t="s">
        <v>460</v>
      </c>
      <c r="B34">
        <v>131.22</v>
      </c>
      <c r="C34">
        <v>6113.94881274</v>
      </c>
      <c r="D34" s="38">
        <v>15.186357507826401</v>
      </c>
      <c r="E34" s="38">
        <v>27.408127238465699</v>
      </c>
      <c r="F34">
        <v>5.5641394966568498</v>
      </c>
      <c r="G34" s="38">
        <v>72.230620000000002</v>
      </c>
      <c r="H34">
        <v>39.906460000000003</v>
      </c>
      <c r="I34" s="38">
        <v>6.6274352699136898</v>
      </c>
      <c r="J34" s="38">
        <v>-6.4286068600095803</v>
      </c>
      <c r="K34">
        <v>1098.8130000000001</v>
      </c>
      <c r="L34">
        <v>403.93599999999998</v>
      </c>
      <c r="M34" s="84">
        <f t="shared" si="0"/>
        <v>39.595175630611593</v>
      </c>
      <c r="N34" s="54">
        <f t="shared" si="1"/>
        <v>15.186357507826401</v>
      </c>
      <c r="O34" s="54">
        <f t="shared" si="2"/>
        <v>27.408127238465699</v>
      </c>
      <c r="P34" s="54">
        <f t="shared" si="3"/>
        <v>5.5641394966568498</v>
      </c>
      <c r="Q34" s="54">
        <f t="shared" si="4"/>
        <v>72.230620000000002</v>
      </c>
      <c r="R34" s="54">
        <f t="shared" si="5"/>
        <v>39.906460000000003</v>
      </c>
      <c r="S34" s="54">
        <f t="shared" si="6"/>
        <v>6.6274352699136898</v>
      </c>
      <c r="T34" s="54">
        <f t="shared" si="7"/>
        <v>-6.4286068600095803</v>
      </c>
      <c r="U34" s="54">
        <f t="shared" si="8"/>
        <v>39.595175630611593</v>
      </c>
    </row>
    <row r="35" spans="1:21" x14ac:dyDescent="0.25">
      <c r="A35" s="38" t="s">
        <v>458</v>
      </c>
      <c r="B35">
        <v>33.74</v>
      </c>
      <c r="C35">
        <v>7738.6966014749996</v>
      </c>
      <c r="D35" s="38">
        <v>134.937405310581</v>
      </c>
      <c r="E35" s="38">
        <v>26.131529037544801</v>
      </c>
      <c r="F35">
        <v>2.8755281319903498</v>
      </c>
      <c r="G35">
        <v>74.138599999999997</v>
      </c>
      <c r="H35">
        <v>0.89044000000000001</v>
      </c>
      <c r="I35" s="38">
        <v>3.8378555885417698</v>
      </c>
      <c r="J35" s="38">
        <v>-3.3369175627240102</v>
      </c>
      <c r="K35">
        <v>2693</v>
      </c>
      <c r="L35">
        <v>1891</v>
      </c>
      <c r="M35" s="84">
        <f t="shared" si="0"/>
        <v>12.507534646703512</v>
      </c>
      <c r="N35" s="54">
        <f t="shared" si="1"/>
        <v>134.937405310581</v>
      </c>
      <c r="O35" s="54">
        <f t="shared" si="2"/>
        <v>26.131529037544801</v>
      </c>
      <c r="P35" s="54">
        <f t="shared" si="3"/>
        <v>2.8755281319903498</v>
      </c>
      <c r="Q35" s="54">
        <f t="shared" si="4"/>
        <v>74.138599999999997</v>
      </c>
      <c r="R35" s="54">
        <f t="shared" si="5"/>
        <v>0.89044000000000001</v>
      </c>
      <c r="S35" s="54">
        <f t="shared" si="6"/>
        <v>3.8378555885417698</v>
      </c>
      <c r="T35" s="54">
        <f t="shared" si="7"/>
        <v>-3.3369175627240102</v>
      </c>
      <c r="U35" s="54">
        <f t="shared" si="8"/>
        <v>12.507534646703512</v>
      </c>
    </row>
    <row r="36" spans="1:21" x14ac:dyDescent="0.25">
      <c r="A36" s="38" t="s">
        <v>459</v>
      </c>
      <c r="B36">
        <v>54.01</v>
      </c>
      <c r="C36">
        <v>38670.012017449997</v>
      </c>
      <c r="D36" s="38" t="s">
        <v>297</v>
      </c>
      <c r="E36" s="38" t="s">
        <v>297</v>
      </c>
      <c r="F36">
        <v>7.7134705575378897</v>
      </c>
      <c r="G36">
        <v>78.074070000000006</v>
      </c>
      <c r="H36">
        <v>-21.777850000000001</v>
      </c>
      <c r="I36">
        <v>3.7256417260911698</v>
      </c>
      <c r="J36" s="38">
        <v>2.1057281648355199</v>
      </c>
      <c r="K36">
        <v>5297.3440000000001</v>
      </c>
      <c r="L36">
        <v>2343.2620000000002</v>
      </c>
      <c r="M36" s="84">
        <f t="shared" si="0"/>
        <v>31.243894422605646</v>
      </c>
      <c r="N36" s="54" t="str">
        <f t="shared" si="1"/>
        <v/>
      </c>
      <c r="O36" s="54" t="str">
        <f t="shared" si="2"/>
        <v/>
      </c>
      <c r="P36" s="54">
        <f t="shared" si="3"/>
        <v>7.7134705575378897</v>
      </c>
      <c r="Q36" s="54">
        <f t="shared" si="4"/>
        <v>78.074070000000006</v>
      </c>
      <c r="R36" s="54">
        <f t="shared" si="5"/>
        <v>-21.777850000000001</v>
      </c>
      <c r="S36" s="54">
        <f t="shared" si="6"/>
        <v>3.7256417260911698</v>
      </c>
      <c r="T36" s="54">
        <f t="shared" si="7"/>
        <v>2.1057281648355199</v>
      </c>
      <c r="U36" s="54">
        <f t="shared" si="8"/>
        <v>31.243894422605646</v>
      </c>
    </row>
    <row r="37" spans="1:21" x14ac:dyDescent="0.25">
      <c r="A37" s="38" t="s">
        <v>453</v>
      </c>
      <c r="B37">
        <v>212.5</v>
      </c>
      <c r="C37">
        <v>5142500</v>
      </c>
      <c r="D37" s="38">
        <v>32.542262828159998</v>
      </c>
      <c r="E37" s="38">
        <v>30.588606487653902</v>
      </c>
      <c r="F37">
        <v>20.286716293675099</v>
      </c>
      <c r="G37" s="38">
        <v>73.152019999999993</v>
      </c>
      <c r="H37">
        <v>55.602530000000002</v>
      </c>
      <c r="I37" s="38">
        <v>2.3155274671852202</v>
      </c>
      <c r="J37" s="38">
        <v>-0.32630112028764302</v>
      </c>
      <c r="K37">
        <v>253491</v>
      </c>
      <c r="L37">
        <v>25878</v>
      </c>
      <c r="M37" s="84">
        <f t="shared" ref="M37:M54" si="9">IFERROR(((K37/L37)^(1/3)-1)*100,"")</f>
        <v>113.96559480790347</v>
      </c>
      <c r="N37" s="54">
        <f t="shared" ref="N37:N54" si="10">IF(ISNUMBER(D37),D37,"")</f>
        <v>32.542262828159998</v>
      </c>
      <c r="O37" s="54">
        <f t="shared" ref="O37:O54" si="11">IF(ISNUMBER(E37),E37,"")</f>
        <v>30.588606487653902</v>
      </c>
      <c r="P37" s="54">
        <f t="shared" ref="P37:P54" si="12">IF(ISNUMBER(F37),F37,"")</f>
        <v>20.286716293675099</v>
      </c>
      <c r="Q37" s="54">
        <f t="shared" ref="Q37:Q54" si="13">IF(ISNUMBER(G37),G37,"")</f>
        <v>73.152019999999993</v>
      </c>
      <c r="R37" s="54">
        <f t="shared" ref="R37:R54" si="14">IF(ISNUMBER(H37),H37,"")</f>
        <v>55.602530000000002</v>
      </c>
      <c r="S37" s="54">
        <f t="shared" ref="S37:S54" si="15">IF(ISNUMBER(I37),I37,"")</f>
        <v>2.3155274671852202</v>
      </c>
      <c r="T37" s="54">
        <f t="shared" ref="T37:T54" si="16">IF(ISNUMBER(J37),J37,"")</f>
        <v>-0.32630112028764302</v>
      </c>
      <c r="U37" s="54">
        <f t="shared" ref="U37:U54" si="17">IF(ISNUMBER(M37),M37,"")</f>
        <v>113.96559480790347</v>
      </c>
    </row>
    <row r="38" spans="1:21" x14ac:dyDescent="0.25">
      <c r="A38" s="38" t="s">
        <v>439</v>
      </c>
      <c r="B38">
        <v>172.68</v>
      </c>
      <c r="C38">
        <v>136773</v>
      </c>
      <c r="D38" s="38">
        <v>19.3215252203753</v>
      </c>
      <c r="E38" s="38">
        <v>12.4983636502017</v>
      </c>
      <c r="F38" s="38">
        <v>3.1934670433584702</v>
      </c>
      <c r="G38" s="38">
        <v>77.676100000000005</v>
      </c>
      <c r="H38" s="38">
        <v>17.95786</v>
      </c>
      <c r="I38" s="38">
        <v>10.7192208988616</v>
      </c>
      <c r="J38" s="38">
        <v>0.411675165537712</v>
      </c>
      <c r="K38" s="38">
        <v>42829</v>
      </c>
      <c r="L38" s="38">
        <v>32188</v>
      </c>
      <c r="M38" s="84">
        <f t="shared" si="9"/>
        <v>9.9886776057887872</v>
      </c>
      <c r="N38" s="54">
        <f t="shared" si="10"/>
        <v>19.3215252203753</v>
      </c>
      <c r="O38" s="54">
        <f t="shared" si="11"/>
        <v>12.4983636502017</v>
      </c>
      <c r="P38" s="54">
        <f t="shared" si="12"/>
        <v>3.1934670433584702</v>
      </c>
      <c r="Q38" s="54">
        <f t="shared" si="13"/>
        <v>77.676100000000005</v>
      </c>
      <c r="R38" s="54">
        <f t="shared" si="14"/>
        <v>17.95786</v>
      </c>
      <c r="S38" s="54">
        <f t="shared" si="15"/>
        <v>10.7192208988616</v>
      </c>
      <c r="T38" s="54">
        <f t="shared" si="16"/>
        <v>0.411675165537712</v>
      </c>
      <c r="U38" s="54">
        <f t="shared" si="17"/>
        <v>9.9886776057887872</v>
      </c>
    </row>
    <row r="39" spans="1:21" x14ac:dyDescent="0.25">
      <c r="A39" s="38" t="s">
        <v>465</v>
      </c>
      <c r="B39">
        <v>91.48</v>
      </c>
      <c r="C39">
        <v>12075.03972852</v>
      </c>
      <c r="D39" s="38" t="s">
        <v>297</v>
      </c>
      <c r="E39" s="38">
        <v>31.836634234841</v>
      </c>
      <c r="F39">
        <v>0.9559266126821</v>
      </c>
      <c r="G39" s="38">
        <v>30.223970000000001</v>
      </c>
      <c r="H39">
        <v>-2.5126400000000002</v>
      </c>
      <c r="I39" s="38">
        <v>2.9917060989677302</v>
      </c>
      <c r="J39">
        <v>3.9318181818181799</v>
      </c>
      <c r="K39">
        <v>12658</v>
      </c>
      <c r="L39">
        <v>11999</v>
      </c>
      <c r="M39" s="84">
        <f t="shared" si="9"/>
        <v>1.7981797978601</v>
      </c>
      <c r="N39" s="54" t="str">
        <f t="shared" si="10"/>
        <v/>
      </c>
      <c r="O39" s="54">
        <f t="shared" si="11"/>
        <v>31.836634234841</v>
      </c>
      <c r="P39" s="54">
        <f t="shared" si="12"/>
        <v>0.9559266126821</v>
      </c>
      <c r="Q39" s="54">
        <f t="shared" si="13"/>
        <v>30.223970000000001</v>
      </c>
      <c r="R39" s="54">
        <f t="shared" si="14"/>
        <v>-2.5126400000000002</v>
      </c>
      <c r="S39" s="54">
        <f t="shared" si="15"/>
        <v>2.9917060989677302</v>
      </c>
      <c r="T39" s="54">
        <f t="shared" si="16"/>
        <v>3.9318181818181799</v>
      </c>
      <c r="U39" s="54">
        <f t="shared" si="17"/>
        <v>1.7981797978601</v>
      </c>
    </row>
    <row r="40" spans="1:21" x14ac:dyDescent="0.25">
      <c r="A40" s="38" t="s">
        <v>468</v>
      </c>
      <c r="B40">
        <v>452.73</v>
      </c>
      <c r="C40">
        <v>152090.11619999999</v>
      </c>
      <c r="D40" s="38">
        <v>39.342065586620201</v>
      </c>
      <c r="E40" s="38">
        <v>31.132859716897499</v>
      </c>
      <c r="F40">
        <v>24.673163360258702</v>
      </c>
      <c r="G40" s="38">
        <v>87.864000000000004</v>
      </c>
      <c r="H40">
        <v>62.632860000000001</v>
      </c>
      <c r="I40" s="38">
        <v>2.9424370970399698</v>
      </c>
      <c r="J40">
        <v>0.23394517276652499</v>
      </c>
      <c r="K40">
        <v>6164.192</v>
      </c>
      <c r="L40">
        <v>2907.0419999999999</v>
      </c>
      <c r="M40" s="84">
        <f t="shared" si="9"/>
        <v>28.471940427867825</v>
      </c>
      <c r="N40" s="54">
        <f t="shared" si="10"/>
        <v>39.342065586620201</v>
      </c>
      <c r="O40" s="54">
        <f t="shared" si="11"/>
        <v>31.132859716897499</v>
      </c>
      <c r="P40" s="54">
        <f t="shared" si="12"/>
        <v>24.673163360258702</v>
      </c>
      <c r="Q40" s="54">
        <f t="shared" si="13"/>
        <v>87.864000000000004</v>
      </c>
      <c r="R40" s="54">
        <f t="shared" si="14"/>
        <v>62.632860000000001</v>
      </c>
      <c r="S40" s="54">
        <f t="shared" si="15"/>
        <v>2.9424370970399698</v>
      </c>
      <c r="T40" s="54">
        <f t="shared" si="16"/>
        <v>0.23394517276652499</v>
      </c>
      <c r="U40" s="54">
        <f t="shared" si="17"/>
        <v>28.471940427867825</v>
      </c>
    </row>
    <row r="41" spans="1:21" x14ac:dyDescent="0.25">
      <c r="A41" s="38" t="s">
        <v>462</v>
      </c>
      <c r="B41">
        <v>9.6300000000000008</v>
      </c>
      <c r="C41">
        <v>3615.4612086299999</v>
      </c>
      <c r="D41" s="38" t="s">
        <v>297</v>
      </c>
      <c r="E41" s="38" t="s">
        <v>297</v>
      </c>
      <c r="F41">
        <v>1.9801435011869799</v>
      </c>
      <c r="G41">
        <v>82.008589999999998</v>
      </c>
      <c r="H41">
        <v>-109.21081</v>
      </c>
      <c r="I41" s="38">
        <v>8.3807272845680991</v>
      </c>
      <c r="J41" s="38">
        <v>-0.82186105415995103</v>
      </c>
      <c r="K41" s="38" t="s">
        <v>297</v>
      </c>
      <c r="L41" s="38" t="s">
        <v>297</v>
      </c>
      <c r="M41" s="84" t="str">
        <f t="shared" si="9"/>
        <v/>
      </c>
      <c r="N41" s="54" t="str">
        <f t="shared" si="10"/>
        <v/>
      </c>
      <c r="O41" s="54" t="str">
        <f t="shared" si="11"/>
        <v/>
      </c>
      <c r="P41" s="54">
        <f t="shared" si="12"/>
        <v>1.9801435011869799</v>
      </c>
      <c r="Q41" s="54">
        <f t="shared" si="13"/>
        <v>82.008589999999998</v>
      </c>
      <c r="R41" s="54">
        <f t="shared" si="14"/>
        <v>-109.21081</v>
      </c>
      <c r="S41" s="54">
        <f t="shared" si="15"/>
        <v>8.3807272845680991</v>
      </c>
      <c r="T41" s="54">
        <f t="shared" si="16"/>
        <v>-0.82186105415995103</v>
      </c>
      <c r="U41" s="54" t="str">
        <f t="shared" si="17"/>
        <v/>
      </c>
    </row>
    <row r="42" spans="1:21" x14ac:dyDescent="0.25">
      <c r="A42" s="38" t="s">
        <v>440</v>
      </c>
      <c r="B42">
        <v>117.49</v>
      </c>
      <c r="C42">
        <v>282110.58361608</v>
      </c>
      <c r="D42" s="38">
        <v>18.0658198674031</v>
      </c>
      <c r="E42" s="38">
        <v>60.550194229663198</v>
      </c>
      <c r="F42">
        <v>1.8652308380927001</v>
      </c>
      <c r="G42">
        <v>39.811070000000001</v>
      </c>
      <c r="H42">
        <v>10.34552</v>
      </c>
      <c r="I42" s="38">
        <v>-2.54305003890663</v>
      </c>
      <c r="J42" s="38">
        <v>0.26791690345393698</v>
      </c>
      <c r="K42">
        <v>1023670</v>
      </c>
      <c r="L42" s="38">
        <v>868687</v>
      </c>
      <c r="M42" s="84">
        <f t="shared" si="9"/>
        <v>5.6247152601758721</v>
      </c>
      <c r="N42" s="54">
        <f t="shared" si="10"/>
        <v>18.0658198674031</v>
      </c>
      <c r="O42" s="54">
        <f t="shared" si="11"/>
        <v>60.550194229663198</v>
      </c>
      <c r="P42" s="54">
        <f t="shared" si="12"/>
        <v>1.8652308380927001</v>
      </c>
      <c r="Q42" s="54">
        <f t="shared" si="13"/>
        <v>39.811070000000001</v>
      </c>
      <c r="R42" s="54">
        <f t="shared" si="14"/>
        <v>10.34552</v>
      </c>
      <c r="S42" s="54">
        <f t="shared" si="15"/>
        <v>-2.54305003890663</v>
      </c>
      <c r="T42" s="54">
        <f t="shared" si="16"/>
        <v>0.26791690345393698</v>
      </c>
      <c r="U42" s="54">
        <f t="shared" si="17"/>
        <v>5.6247152601758721</v>
      </c>
    </row>
    <row r="43" spans="1:21" x14ac:dyDescent="0.25">
      <c r="A43" s="38" t="s">
        <v>464</v>
      </c>
      <c r="B43">
        <v>21.53</v>
      </c>
      <c r="C43">
        <v>8683.8874304700003</v>
      </c>
      <c r="D43" s="38">
        <v>35.203319502074699</v>
      </c>
      <c r="E43" s="38">
        <v>17.114858344800901</v>
      </c>
      <c r="F43">
        <v>0.67617303452311595</v>
      </c>
      <c r="G43">
        <v>29.78931</v>
      </c>
      <c r="H43">
        <v>1.7680400000000001</v>
      </c>
      <c r="I43" s="38">
        <v>6.73085648196116</v>
      </c>
      <c r="J43" s="38">
        <v>-1.84234800838574</v>
      </c>
      <c r="K43">
        <v>12842.7</v>
      </c>
      <c r="L43" s="38">
        <v>10481.312</v>
      </c>
      <c r="M43" s="84">
        <f t="shared" si="9"/>
        <v>7.0073386401942939</v>
      </c>
      <c r="N43" s="54">
        <f t="shared" si="10"/>
        <v>35.203319502074699</v>
      </c>
      <c r="O43" s="54">
        <f t="shared" si="11"/>
        <v>17.114858344800901</v>
      </c>
      <c r="P43" s="54">
        <f t="shared" si="12"/>
        <v>0.67617303452311595</v>
      </c>
      <c r="Q43" s="54">
        <f t="shared" si="13"/>
        <v>29.78931</v>
      </c>
      <c r="R43" s="54">
        <f t="shared" si="14"/>
        <v>1.7680400000000001</v>
      </c>
      <c r="S43" s="54">
        <f t="shared" si="15"/>
        <v>6.73085648196116</v>
      </c>
      <c r="T43" s="54">
        <f t="shared" si="16"/>
        <v>-1.84234800838574</v>
      </c>
      <c r="U43" s="54">
        <f t="shared" si="17"/>
        <v>7.0073386401942939</v>
      </c>
    </row>
    <row r="44" spans="1:21" x14ac:dyDescent="0.25">
      <c r="A44" s="38" t="s">
        <v>483</v>
      </c>
      <c r="B44">
        <v>53.23</v>
      </c>
      <c r="C44">
        <v>2227.6494705300001</v>
      </c>
      <c r="D44" s="38" t="s">
        <v>297</v>
      </c>
      <c r="E44" s="38">
        <v>7.8448530966932903</v>
      </c>
      <c r="F44">
        <v>1.08108725112639</v>
      </c>
      <c r="G44">
        <v>68.081339999999997</v>
      </c>
      <c r="H44">
        <v>2.54114</v>
      </c>
      <c r="I44" s="38">
        <v>22.222122759835401</v>
      </c>
      <c r="J44" s="38">
        <v>-0.32222850279092802</v>
      </c>
      <c r="K44" s="38">
        <v>2060.5639999999999</v>
      </c>
      <c r="L44">
        <v>1420.145</v>
      </c>
      <c r="M44" s="84">
        <f t="shared" si="9"/>
        <v>13.209917256906811</v>
      </c>
      <c r="N44" s="54" t="str">
        <f t="shared" si="10"/>
        <v/>
      </c>
      <c r="O44" s="54">
        <f t="shared" si="11"/>
        <v>7.8448530966932903</v>
      </c>
      <c r="P44" s="54">
        <f t="shared" si="12"/>
        <v>1.08108725112639</v>
      </c>
      <c r="Q44" s="54">
        <f t="shared" si="13"/>
        <v>68.081339999999997</v>
      </c>
      <c r="R44" s="54">
        <f t="shared" si="14"/>
        <v>2.54114</v>
      </c>
      <c r="S44" s="54">
        <f t="shared" si="15"/>
        <v>22.222122759835401</v>
      </c>
      <c r="T44" s="54">
        <f t="shared" si="16"/>
        <v>-0.32222850279092802</v>
      </c>
      <c r="U44" s="54">
        <f t="shared" si="17"/>
        <v>13.209917256906811</v>
      </c>
    </row>
    <row r="45" spans="1:21" x14ac:dyDescent="0.25">
      <c r="A45" s="38" t="s">
        <v>466</v>
      </c>
      <c r="B45">
        <v>3.1</v>
      </c>
      <c r="C45">
        <v>470.07836730000002</v>
      </c>
      <c r="D45" s="38" t="s">
        <v>297</v>
      </c>
      <c r="E45">
        <v>3.1802814242290598</v>
      </c>
      <c r="F45">
        <v>0.50495023019743401</v>
      </c>
      <c r="G45">
        <v>70.941779999999994</v>
      </c>
      <c r="H45">
        <v>-71.778829999999999</v>
      </c>
      <c r="I45" s="38">
        <v>57.793980514448599</v>
      </c>
      <c r="J45" s="38">
        <v>1.79104309204115</v>
      </c>
      <c r="K45">
        <v>930.94</v>
      </c>
      <c r="L45">
        <v>936.42100000000005</v>
      </c>
      <c r="M45" s="84">
        <f t="shared" si="9"/>
        <v>-0.19548645284838129</v>
      </c>
      <c r="N45" s="54" t="str">
        <f t="shared" si="10"/>
        <v/>
      </c>
      <c r="O45" s="54">
        <f t="shared" si="11"/>
        <v>3.1802814242290598</v>
      </c>
      <c r="P45" s="54">
        <f t="shared" si="12"/>
        <v>0.50495023019743401</v>
      </c>
      <c r="Q45" s="54">
        <f t="shared" si="13"/>
        <v>70.941779999999994</v>
      </c>
      <c r="R45" s="54">
        <f t="shared" si="14"/>
        <v>-71.778829999999999</v>
      </c>
      <c r="S45" s="54">
        <f t="shared" si="15"/>
        <v>57.793980514448599</v>
      </c>
      <c r="T45" s="54">
        <f t="shared" si="16"/>
        <v>1.79104309204115</v>
      </c>
      <c r="U45" s="54">
        <f t="shared" si="17"/>
        <v>-0.19548645284838129</v>
      </c>
    </row>
    <row r="46" spans="1:21" x14ac:dyDescent="0.25">
      <c r="A46" s="38" t="s">
        <v>472</v>
      </c>
      <c r="B46">
        <v>11.8</v>
      </c>
      <c r="C46">
        <v>1813.9467139799999</v>
      </c>
      <c r="D46">
        <v>35.707812216784497</v>
      </c>
      <c r="E46">
        <v>10.856098374536501</v>
      </c>
      <c r="F46">
        <v>2.3741048929461899</v>
      </c>
      <c r="G46" s="38">
        <v>82.159480000000002</v>
      </c>
      <c r="H46">
        <v>6.7687600000000003</v>
      </c>
      <c r="I46" s="38">
        <v>7.4370982874134999</v>
      </c>
      <c r="J46" s="38">
        <v>-1.6204731346816399</v>
      </c>
      <c r="K46" s="38">
        <v>764.05499999999995</v>
      </c>
      <c r="L46" s="38">
        <v>478.28899999999999</v>
      </c>
      <c r="M46" s="84">
        <f t="shared" si="9"/>
        <v>16.899165194009957</v>
      </c>
      <c r="N46" s="54">
        <f t="shared" si="10"/>
        <v>35.707812216784497</v>
      </c>
      <c r="O46" s="54">
        <f t="shared" si="11"/>
        <v>10.856098374536501</v>
      </c>
      <c r="P46" s="54">
        <f t="shared" si="12"/>
        <v>2.3741048929461899</v>
      </c>
      <c r="Q46" s="54">
        <f t="shared" si="13"/>
        <v>82.159480000000002</v>
      </c>
      <c r="R46" s="54">
        <f t="shared" si="14"/>
        <v>6.7687600000000003</v>
      </c>
      <c r="S46" s="54">
        <f t="shared" si="15"/>
        <v>7.4370982874134999</v>
      </c>
      <c r="T46" s="54">
        <f t="shared" si="16"/>
        <v>-1.6204731346816399</v>
      </c>
      <c r="U46" s="54">
        <f t="shared" si="17"/>
        <v>16.899165194009957</v>
      </c>
    </row>
    <row r="47" spans="1:21" x14ac:dyDescent="0.25">
      <c r="A47" s="38" t="s">
        <v>467</v>
      </c>
      <c r="B47">
        <v>24.07</v>
      </c>
      <c r="C47">
        <v>4007.18628489</v>
      </c>
      <c r="D47" s="38">
        <v>179.54647172907701</v>
      </c>
      <c r="E47" s="38">
        <v>19.977617303605399</v>
      </c>
      <c r="F47">
        <v>5.4047672023840896</v>
      </c>
      <c r="G47">
        <v>85.145619999999994</v>
      </c>
      <c r="H47">
        <v>-3.3751699999999998</v>
      </c>
      <c r="I47">
        <v>3.7162734500646701</v>
      </c>
      <c r="J47" s="38">
        <v>6.9526978506543999</v>
      </c>
      <c r="K47" s="38">
        <v>741.41700000000003</v>
      </c>
      <c r="L47" s="38" t="s">
        <v>297</v>
      </c>
      <c r="M47" s="84" t="str">
        <f t="shared" si="9"/>
        <v/>
      </c>
      <c r="N47" s="54">
        <f t="shared" si="10"/>
        <v>179.54647172907701</v>
      </c>
      <c r="O47" s="54">
        <f t="shared" si="11"/>
        <v>19.977617303605399</v>
      </c>
      <c r="P47" s="54">
        <f t="shared" si="12"/>
        <v>5.4047672023840896</v>
      </c>
      <c r="Q47" s="54">
        <f t="shared" si="13"/>
        <v>85.145619999999994</v>
      </c>
      <c r="R47" s="54">
        <f t="shared" si="14"/>
        <v>-3.3751699999999998</v>
      </c>
      <c r="S47" s="54">
        <f t="shared" si="15"/>
        <v>3.7162734500646701</v>
      </c>
      <c r="T47" s="54">
        <f t="shared" si="16"/>
        <v>6.9526978506543999</v>
      </c>
      <c r="U47" s="54" t="str">
        <f t="shared" si="17"/>
        <v/>
      </c>
    </row>
    <row r="48" spans="1:21" x14ac:dyDescent="0.25">
      <c r="A48" s="38" t="s">
        <v>461</v>
      </c>
      <c r="B48">
        <v>124.21</v>
      </c>
      <c r="C48">
        <v>357783.30291000003</v>
      </c>
      <c r="D48" s="38">
        <v>21.557145390734402</v>
      </c>
      <c r="E48">
        <v>15.5411531695541</v>
      </c>
      <c r="F48">
        <v>5.6657502121500203</v>
      </c>
      <c r="G48">
        <v>65.822410000000005</v>
      </c>
      <c r="H48">
        <v>26.600059999999999</v>
      </c>
      <c r="I48">
        <v>-6.2064765332086296</v>
      </c>
      <c r="J48">
        <v>3.4980592634668199</v>
      </c>
      <c r="K48">
        <v>67358</v>
      </c>
      <c r="L48">
        <v>49954</v>
      </c>
      <c r="M48" s="84">
        <f t="shared" si="9"/>
        <v>10.477279536214246</v>
      </c>
      <c r="N48" s="54">
        <f t="shared" si="10"/>
        <v>21.557145390734402</v>
      </c>
      <c r="O48" s="54">
        <f t="shared" si="11"/>
        <v>15.5411531695541</v>
      </c>
      <c r="P48" s="54">
        <f t="shared" si="12"/>
        <v>5.6657502121500203</v>
      </c>
      <c r="Q48" s="54">
        <f t="shared" si="13"/>
        <v>65.822410000000005</v>
      </c>
      <c r="R48" s="54">
        <f t="shared" si="14"/>
        <v>26.600059999999999</v>
      </c>
      <c r="S48" s="54">
        <f t="shared" si="15"/>
        <v>-6.2064765332086296</v>
      </c>
      <c r="T48" s="54">
        <f t="shared" si="16"/>
        <v>3.4980592634668199</v>
      </c>
      <c r="U48" s="54">
        <f t="shared" si="17"/>
        <v>10.477279536214246</v>
      </c>
    </row>
    <row r="49" spans="1:21" x14ac:dyDescent="0.25">
      <c r="A49" s="38" t="s">
        <v>441</v>
      </c>
      <c r="B49">
        <v>111.48</v>
      </c>
      <c r="C49">
        <v>37935.825625320002</v>
      </c>
      <c r="D49" s="38">
        <v>988.10756416972697</v>
      </c>
      <c r="E49" s="38">
        <v>14.591427779564301</v>
      </c>
      <c r="F49">
        <v>1.9949748643944301</v>
      </c>
      <c r="G49">
        <v>43.882429999999999</v>
      </c>
      <c r="H49">
        <v>3.61252</v>
      </c>
      <c r="I49" s="38">
        <v>2.1461389982179599</v>
      </c>
      <c r="J49" s="38">
        <v>-0.13761521409403801</v>
      </c>
      <c r="K49">
        <v>128702</v>
      </c>
      <c r="L49">
        <v>126408</v>
      </c>
      <c r="M49" s="84">
        <f t="shared" si="9"/>
        <v>0.6012966959144217</v>
      </c>
      <c r="N49" s="54">
        <f t="shared" si="10"/>
        <v>988.10756416972697</v>
      </c>
      <c r="O49" s="54">
        <f t="shared" si="11"/>
        <v>14.591427779564301</v>
      </c>
      <c r="P49" s="54">
        <f t="shared" si="12"/>
        <v>1.9949748643944301</v>
      </c>
      <c r="Q49" s="54">
        <f t="shared" si="13"/>
        <v>43.882429999999999</v>
      </c>
      <c r="R49" s="54">
        <f t="shared" si="14"/>
        <v>3.61252</v>
      </c>
      <c r="S49" s="54">
        <f t="shared" si="15"/>
        <v>2.1461389982179599</v>
      </c>
      <c r="T49" s="54">
        <f t="shared" si="16"/>
        <v>-0.13761521409403801</v>
      </c>
      <c r="U49" s="54">
        <f t="shared" si="17"/>
        <v>0.6012966959144217</v>
      </c>
    </row>
    <row r="50" spans="1:21" x14ac:dyDescent="0.25">
      <c r="A50" s="38" t="s">
        <v>469</v>
      </c>
      <c r="B50">
        <v>6.33</v>
      </c>
      <c r="C50">
        <v>2740.8388852500002</v>
      </c>
      <c r="D50" s="38">
        <v>139.21266769298401</v>
      </c>
      <c r="E50">
        <v>11.307485002910401</v>
      </c>
      <c r="F50">
        <v>1.1209516523864</v>
      </c>
      <c r="G50">
        <v>50.919379999999997</v>
      </c>
      <c r="H50">
        <v>-4.7735700000000003</v>
      </c>
      <c r="I50" s="38">
        <v>14.641502722382601</v>
      </c>
      <c r="J50">
        <v>1.7830811020566599</v>
      </c>
      <c r="K50">
        <v>2445.1</v>
      </c>
      <c r="L50">
        <v>2836.8</v>
      </c>
      <c r="M50" s="84">
        <f t="shared" si="9"/>
        <v>-4.8323593854323725</v>
      </c>
      <c r="N50" s="54">
        <f t="shared" si="10"/>
        <v>139.21266769298401</v>
      </c>
      <c r="O50" s="54">
        <f t="shared" si="11"/>
        <v>11.307485002910401</v>
      </c>
      <c r="P50" s="54">
        <f t="shared" si="12"/>
        <v>1.1209516523864</v>
      </c>
      <c r="Q50" s="54">
        <f t="shared" si="13"/>
        <v>50.919379999999997</v>
      </c>
      <c r="R50" s="54">
        <f t="shared" si="14"/>
        <v>-4.7735700000000003</v>
      </c>
      <c r="S50" s="54">
        <f t="shared" si="15"/>
        <v>14.641502722382601</v>
      </c>
      <c r="T50" s="54">
        <f t="shared" si="16"/>
        <v>1.7830811020566599</v>
      </c>
      <c r="U50" s="54">
        <f t="shared" si="17"/>
        <v>-4.8323593854323725</v>
      </c>
    </row>
    <row r="51" spans="1:21" x14ac:dyDescent="0.25">
      <c r="A51" s="38" t="s">
        <v>470</v>
      </c>
      <c r="B51">
        <v>45.81</v>
      </c>
      <c r="C51">
        <v>3407.69119176</v>
      </c>
      <c r="D51" s="38">
        <v>36.161982949163203</v>
      </c>
      <c r="E51" s="38">
        <v>32.310819308377603</v>
      </c>
      <c r="F51">
        <v>1.5175016985535701</v>
      </c>
      <c r="G51">
        <v>66.186539999999994</v>
      </c>
      <c r="H51">
        <v>-4.9855200000000002</v>
      </c>
      <c r="I51" s="38">
        <v>1.66840235222829</v>
      </c>
      <c r="J51">
        <v>4.4745732131657396</v>
      </c>
      <c r="K51">
        <v>2245.5929999999998</v>
      </c>
      <c r="L51">
        <v>4994.2060000000001</v>
      </c>
      <c r="M51" s="84">
        <f t="shared" si="9"/>
        <v>-23.389517439099084</v>
      </c>
      <c r="N51" s="54">
        <f t="shared" si="10"/>
        <v>36.161982949163203</v>
      </c>
      <c r="O51" s="54">
        <f t="shared" si="11"/>
        <v>32.310819308377603</v>
      </c>
      <c r="P51" s="54">
        <f t="shared" si="12"/>
        <v>1.5175016985535701</v>
      </c>
      <c r="Q51" s="54">
        <f t="shared" si="13"/>
        <v>66.186539999999994</v>
      </c>
      <c r="R51" s="54">
        <f t="shared" si="14"/>
        <v>-4.9855200000000002</v>
      </c>
      <c r="S51" s="54">
        <f t="shared" si="15"/>
        <v>1.66840235222829</v>
      </c>
      <c r="T51" s="54">
        <f t="shared" si="16"/>
        <v>4.4745732131657396</v>
      </c>
      <c r="U51" s="54">
        <f t="shared" si="17"/>
        <v>-23.389517439099084</v>
      </c>
    </row>
    <row r="52" spans="1:21" x14ac:dyDescent="0.25">
      <c r="A52" s="38" t="s">
        <v>484</v>
      </c>
      <c r="B52">
        <v>30.19</v>
      </c>
      <c r="C52">
        <v>13178.99155943</v>
      </c>
      <c r="D52" s="38" t="s">
        <v>297</v>
      </c>
      <c r="E52" s="38">
        <v>142.13543074134901</v>
      </c>
      <c r="F52">
        <v>7.0989384478278996</v>
      </c>
      <c r="G52" s="38">
        <v>74.267970000000005</v>
      </c>
      <c r="H52">
        <v>-21.775220000000001</v>
      </c>
      <c r="I52" s="38">
        <v>3.3704384961610798</v>
      </c>
      <c r="J52">
        <v>4.4454081580896201</v>
      </c>
      <c r="K52">
        <v>1922.886</v>
      </c>
      <c r="L52">
        <v>1571.259</v>
      </c>
      <c r="M52" s="84">
        <f t="shared" si="9"/>
        <v>6.9634132632826917</v>
      </c>
      <c r="N52" s="54" t="str">
        <f t="shared" si="10"/>
        <v/>
      </c>
      <c r="O52" s="54">
        <f t="shared" si="11"/>
        <v>142.13543074134901</v>
      </c>
      <c r="P52" s="54">
        <f t="shared" si="12"/>
        <v>7.0989384478278996</v>
      </c>
      <c r="Q52" s="54">
        <f t="shared" si="13"/>
        <v>74.267970000000005</v>
      </c>
      <c r="R52" s="54">
        <f t="shared" si="14"/>
        <v>-21.775220000000001</v>
      </c>
      <c r="S52" s="54">
        <f t="shared" si="15"/>
        <v>3.3704384961610798</v>
      </c>
      <c r="T52" s="54">
        <f t="shared" si="16"/>
        <v>4.4454081580896201</v>
      </c>
      <c r="U52" s="54">
        <f t="shared" si="17"/>
        <v>6.9634132632826917</v>
      </c>
    </row>
    <row r="53" spans="1:21" x14ac:dyDescent="0.25">
      <c r="A53" s="38" t="s">
        <v>471</v>
      </c>
      <c r="B53">
        <v>14.6</v>
      </c>
      <c r="C53">
        <v>1698.8730674000001</v>
      </c>
      <c r="D53" s="38">
        <v>144.51153122834799</v>
      </c>
      <c r="E53" s="38">
        <v>9.0825624931506894</v>
      </c>
      <c r="F53" s="38">
        <v>0.90587238317159202</v>
      </c>
      <c r="G53" s="38">
        <v>92.332099999999997</v>
      </c>
      <c r="H53" s="38">
        <v>2.1152799999999998</v>
      </c>
      <c r="I53" s="38">
        <v>10.6717802217835</v>
      </c>
      <c r="J53" s="38">
        <v>0.91324200913242004</v>
      </c>
      <c r="K53" s="38">
        <v>1875.4</v>
      </c>
      <c r="L53" s="38">
        <v>1601</v>
      </c>
      <c r="M53" s="84">
        <f t="shared" si="9"/>
        <v>5.4146230028034426</v>
      </c>
      <c r="N53" s="54">
        <f t="shared" si="10"/>
        <v>144.51153122834799</v>
      </c>
      <c r="O53" s="54">
        <f t="shared" si="11"/>
        <v>9.0825624931506894</v>
      </c>
      <c r="P53" s="54">
        <f t="shared" si="12"/>
        <v>0.90587238317159202</v>
      </c>
      <c r="Q53" s="54">
        <f t="shared" si="13"/>
        <v>92.332099999999997</v>
      </c>
      <c r="R53" s="54">
        <f t="shared" si="14"/>
        <v>2.1152799999999998</v>
      </c>
      <c r="S53" s="54">
        <f t="shared" si="15"/>
        <v>10.6717802217835</v>
      </c>
      <c r="T53" s="54">
        <f t="shared" si="16"/>
        <v>0.91324200913242004</v>
      </c>
      <c r="U53" s="54">
        <f t="shared" si="17"/>
        <v>5.4146230028034426</v>
      </c>
    </row>
    <row r="54" spans="1:21" x14ac:dyDescent="0.25">
      <c r="A54" s="38" t="s">
        <v>473</v>
      </c>
      <c r="B54">
        <v>9.7899999999999991</v>
      </c>
      <c r="C54">
        <v>723.71680193999998</v>
      </c>
      <c r="D54" s="38">
        <v>34.480418109006997</v>
      </c>
      <c r="E54" s="38">
        <v>6.7242875854040296</v>
      </c>
      <c r="F54">
        <v>2.5098034237136302</v>
      </c>
      <c r="G54">
        <v>77.195930000000004</v>
      </c>
      <c r="H54">
        <v>-2.21515</v>
      </c>
      <c r="I54" s="38">
        <v>8.2033772504719291</v>
      </c>
      <c r="J54" s="38">
        <v>-2.6307817487638498</v>
      </c>
      <c r="K54" s="38">
        <v>299.25400000000002</v>
      </c>
      <c r="L54" s="38" t="s">
        <v>297</v>
      </c>
      <c r="M54" s="84" t="str">
        <f t="shared" si="9"/>
        <v/>
      </c>
      <c r="N54" s="54">
        <f t="shared" si="10"/>
        <v>34.480418109006997</v>
      </c>
      <c r="O54" s="54">
        <f t="shared" si="11"/>
        <v>6.7242875854040296</v>
      </c>
      <c r="P54" s="54">
        <f t="shared" si="12"/>
        <v>2.5098034237136302</v>
      </c>
      <c r="Q54" s="54">
        <f t="shared" si="13"/>
        <v>77.195930000000004</v>
      </c>
      <c r="R54" s="54">
        <f t="shared" si="14"/>
        <v>-2.21515</v>
      </c>
      <c r="S54" s="54">
        <f t="shared" si="15"/>
        <v>8.2033772504719291</v>
      </c>
      <c r="T54" s="54">
        <f t="shared" si="16"/>
        <v>-2.6307817487638498</v>
      </c>
      <c r="U54" s="54" t="str">
        <f t="shared" si="17"/>
        <v/>
      </c>
    </row>
    <row r="55" spans="1:21" x14ac:dyDescent="0.25">
      <c r="L55" s="54"/>
      <c r="M55" s="54" t="s">
        <v>300</v>
      </c>
      <c r="N55" s="54">
        <f>Snapshot!D25</f>
        <v>24.174859999999999</v>
      </c>
      <c r="O55" s="54">
        <f ca="1">Snapshot!D28</f>
        <v>14.919740000000001</v>
      </c>
      <c r="P55" s="54">
        <f>Snapshot!D27</f>
        <v>7.79887</v>
      </c>
      <c r="Q55" s="54">
        <f>History!H7</f>
        <v>81.940613035731729</v>
      </c>
      <c r="R55" s="54">
        <f>History!H12</f>
        <v>32.83681377725469</v>
      </c>
      <c r="S55" s="54">
        <f>Snapshot!D35*100</f>
        <v>279.00726381718601</v>
      </c>
      <c r="T55" s="54">
        <f ca="1">Snapshot!D42</f>
        <v>5.1130749807882313E-2</v>
      </c>
      <c r="U55" s="54">
        <f>IFERROR(((History!G5/History!D5)^(1/3)-1)*100,"")</f>
        <v>19.893831442939259</v>
      </c>
    </row>
    <row r="57" spans="1:21" x14ac:dyDescent="0.25">
      <c r="A57" s="57" t="s">
        <v>301</v>
      </c>
    </row>
    <row r="58" spans="1:21" x14ac:dyDescent="0.25">
      <c r="A58" s="54" t="s">
        <v>302</v>
      </c>
    </row>
    <row r="59" spans="1:21" x14ac:dyDescent="0.25">
      <c r="A59" s="71" t="s">
        <v>241</v>
      </c>
      <c r="B59" s="71" t="s">
        <v>303</v>
      </c>
      <c r="C59" s="71" t="s">
        <v>304</v>
      </c>
      <c r="D59" s="71" t="s">
        <v>305</v>
      </c>
      <c r="E59" s="71" t="s">
        <v>306</v>
      </c>
      <c r="F59" s="71" t="s">
        <v>271</v>
      </c>
    </row>
    <row r="60" spans="1:21" x14ac:dyDescent="0.25">
      <c r="A60" s="75" t="s">
        <v>77</v>
      </c>
      <c r="B60" s="76">
        <f>Snapshot!D25</f>
        <v>24.174859999999999</v>
      </c>
      <c r="C60" s="76">
        <f>IFERROR(MEDIAN(N5:N54),"")</f>
        <v>30.469543602184601</v>
      </c>
      <c r="D60" s="77">
        <f>IFERROR(_xlfn.PERCENTRANK.INC(N5:N55,B60),"")</f>
        <v>0.41799999999999998</v>
      </c>
      <c r="E60" s="54" t="s">
        <v>307</v>
      </c>
      <c r="F60" s="78" t="str">
        <f>IF(D60="","",IF(D60&gt;=0.8,"expensive vs peers",IF(D60&lt;=0.2,"cheap vs peers","mid-pack")))</f>
        <v>mid-pack</v>
      </c>
    </row>
    <row r="61" spans="1:21" x14ac:dyDescent="0.25">
      <c r="A61" s="75" t="s">
        <v>280</v>
      </c>
      <c r="B61" s="76">
        <f ca="1">Snapshot!D28</f>
        <v>14.919740000000001</v>
      </c>
      <c r="C61" s="76">
        <f>IFERROR(MEDIAN(O5:O54),"")</f>
        <v>16.7416237272157</v>
      </c>
      <c r="D61" s="77">
        <f ca="1">IFERROR(_xlfn.PERCENTRANK.INC(O5:O55,B61),"")</f>
        <v>0.42499999999999999</v>
      </c>
      <c r="E61" s="54" t="s">
        <v>307</v>
      </c>
      <c r="F61" s="78" t="str">
        <f ca="1">IF(D61="","",IF(D61&gt;=0.8,"expensive vs peers",IF(D61&lt;=0.2,"cheap vs peers","mid-pack")))</f>
        <v>mid-pack</v>
      </c>
    </row>
    <row r="62" spans="1:21" x14ac:dyDescent="0.25">
      <c r="A62" s="75" t="s">
        <v>82</v>
      </c>
      <c r="B62" s="76">
        <f>Snapshot!D27</f>
        <v>7.79887</v>
      </c>
      <c r="C62" s="76">
        <f>IFERROR(MEDIAN(P5:P54),"")</f>
        <v>2.9641423209225302</v>
      </c>
      <c r="D62" s="77">
        <f>IFERROR(_xlfn.PERCENTRANK.INC(P5:P55,B62),"")</f>
        <v>0.86</v>
      </c>
      <c r="E62" s="54" t="s">
        <v>307</v>
      </c>
      <c r="F62" s="78" t="str">
        <f>IF(D62="","",IF(D62&gt;=0.8,"expensive vs peers",IF(D62&lt;=0.2,"cheap vs peers","mid-pack")))</f>
        <v>expensive vs peers</v>
      </c>
    </row>
    <row r="63" spans="1:21" x14ac:dyDescent="0.25">
      <c r="A63" s="75" t="s">
        <v>308</v>
      </c>
      <c r="B63" s="79">
        <f>IFERROR(((History!G5/History!D5)^(1/3)-1)*100,"")</f>
        <v>19.893831442939259</v>
      </c>
      <c r="C63" s="79">
        <f>IFERROR(MEDIAN(U5:U54),"")</f>
        <v>10.519101091521833</v>
      </c>
      <c r="D63" s="77">
        <f>IFERROR(_xlfn.PERCENTRANK.INC(U5:U55,B63),"")</f>
        <v>0.82899999999999996</v>
      </c>
      <c r="E63" s="54" t="s">
        <v>309</v>
      </c>
      <c r="F63" s="78" t="str">
        <f>IF(D63="","",IF(D63&gt;=0.8,"strong vs peers",IF(D63&lt;=0.2,"weak vs peers","mid-pack")))</f>
        <v>strong vs peers</v>
      </c>
    </row>
    <row r="64" spans="1:21" x14ac:dyDescent="0.25">
      <c r="A64" s="75" t="s">
        <v>310</v>
      </c>
      <c r="B64" s="79">
        <f>History!H7</f>
        <v>81.940613035731729</v>
      </c>
      <c r="C64" s="79">
        <f>IFERROR(MEDIAN(Q5:Q54),"")</f>
        <v>66.809190000000001</v>
      </c>
      <c r="D64" s="77">
        <f>IFERROR(_xlfn.PERCENTRANK.INC(Q5:Q55,B64),"")</f>
        <v>0.85699999999999998</v>
      </c>
      <c r="E64" s="54" t="s">
        <v>309</v>
      </c>
      <c r="F64" s="78" t="str">
        <f>IF(D64="","",IF(D64&gt;=0.8,"strong vs peers",IF(D64&lt;=0.2,"weak vs peers","mid-pack")))</f>
        <v>strong vs peers</v>
      </c>
    </row>
    <row r="65" spans="1:6" x14ac:dyDescent="0.25">
      <c r="A65" s="75" t="s">
        <v>311</v>
      </c>
      <c r="B65" s="79">
        <f>History!H12</f>
        <v>32.83681377725469</v>
      </c>
      <c r="C65" s="79">
        <f>IFERROR(MEDIAN(R5:R54),"")</f>
        <v>12.06635</v>
      </c>
      <c r="D65" s="77">
        <f>IFERROR(_xlfn.PERCENTRANK.INC(R5:R55,B65),"")</f>
        <v>0.9</v>
      </c>
      <c r="E65" s="54" t="s">
        <v>309</v>
      </c>
      <c r="F65" s="78" t="str">
        <f>IF(D65="","",IF(D65&gt;=0.8,"strong vs peers",IF(D65&lt;=0.2,"weak vs peers","mid-pack")))</f>
        <v>strong vs peers</v>
      </c>
    </row>
    <row r="66" spans="1:6" x14ac:dyDescent="0.25">
      <c r="A66" s="75" t="s">
        <v>312</v>
      </c>
      <c r="B66" s="79">
        <f>Snapshot!D35*100</f>
        <v>279.00726381718601</v>
      </c>
      <c r="C66" s="79">
        <f>IFERROR(MEDIAN(S5:S54),"")</f>
        <v>5.3045818620807896</v>
      </c>
      <c r="D66" s="77">
        <f>IFERROR(_xlfn.PERCENTRANK.INC(S5:S55,B66),"")</f>
        <v>1</v>
      </c>
      <c r="E66" s="54" t="s">
        <v>309</v>
      </c>
      <c r="F66" s="78" t="str">
        <f>IF(D66="","",IF(D66&gt;=0.8,"strong vs peers",IF(D66&lt;=0.2,"weak vs peers","mid-pack")))</f>
        <v>strong vs peers</v>
      </c>
    </row>
    <row r="67" spans="1:6" x14ac:dyDescent="0.25">
      <c r="A67" s="75" t="s">
        <v>313</v>
      </c>
      <c r="B67" s="76">
        <f ca="1">Snapshot!D42</f>
        <v>5.1130749807882313E-2</v>
      </c>
      <c r="C67" s="76">
        <f>IFERROR(MEDIAN(T5:T54),"")</f>
        <v>0.17361834189067599</v>
      </c>
      <c r="D67" s="77">
        <f ca="1">IFERROR(_xlfn.PERCENTRANK.INC(T5:T55,B67),"")</f>
        <v>0.44800000000000001</v>
      </c>
      <c r="E67" s="54" t="s">
        <v>307</v>
      </c>
      <c r="F67" s="78" t="str">
        <f ca="1">IF(D67="","",IF(D67&gt;=0.8,"expensive vs peers",IF(D67&lt;=0.2,"cheap vs peers","mid-pack")))</f>
        <v>mid-pack</v>
      </c>
    </row>
    <row r="69" spans="1:6" x14ac:dyDescent="0.25">
      <c r="A69" s="54" t="s">
        <v>314</v>
      </c>
    </row>
  </sheetData>
  <mergeCells count="2">
    <mergeCell ref="A2:K2"/>
    <mergeCell ref="A1:K1"/>
  </mergeCells>
  <pageMargins left="0.75" right="0.75" top="1" bottom="1" header="0.5" footer="0.5"/>
  <customProperties>
    <customPr name="REFI_OFFICE_FUNCTION_CLICK_THROUGH_WORKSHEET_NAME" r:id="rId1"/>
    <customPr name="REFI_OFFICE_FUNCTION_DATA" r:id="rId2"/>
  </customPropertie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54"/>
  <sheetViews>
    <sheetView tabSelected="1" zoomScale="55" zoomScaleNormal="55" workbookViewId="0">
      <selection activeCell="F5" sqref="F5"/>
    </sheetView>
  </sheetViews>
  <sheetFormatPr defaultRowHeight="15" x14ac:dyDescent="0.25"/>
  <cols>
    <col min="1" max="1" width="14" customWidth="1"/>
    <col min="2" max="2" width="80" customWidth="1"/>
    <col min="3" max="3" width="22" customWidth="1"/>
    <col min="4" max="4" width="40" customWidth="1"/>
    <col min="5" max="5" width="4" customWidth="1"/>
  </cols>
  <sheetData>
    <row r="1" spans="1:6" ht="18" customHeight="1" x14ac:dyDescent="0.25">
      <c r="A1" s="35" t="s">
        <v>0</v>
      </c>
    </row>
    <row r="2" spans="1:6" x14ac:dyDescent="0.25">
      <c r="A2" s="54" t="s">
        <v>1</v>
      </c>
    </row>
    <row r="3" spans="1:6" x14ac:dyDescent="0.25">
      <c r="A3" s="55" t="s">
        <v>2</v>
      </c>
      <c r="B3" s="56" t="str">
        <f>Snapshot!C3</f>
        <v>meta</v>
      </c>
    </row>
    <row r="5" spans="1:6" x14ac:dyDescent="0.25">
      <c r="A5" s="81" t="s">
        <v>3</v>
      </c>
      <c r="B5" s="81" t="s">
        <v>4</v>
      </c>
      <c r="C5" s="81" t="s">
        <v>5</v>
      </c>
      <c r="D5" s="81" t="s">
        <v>6</v>
      </c>
      <c r="E5" s="57"/>
      <c r="F5" s="54" t="s">
        <v>7</v>
      </c>
    </row>
    <row r="6" spans="1:6" x14ac:dyDescent="0.25">
      <c r="A6" s="82" t="str">
        <f>_xll.ciqfunctions.udf.CIQRANGE(Snapshot!C3,"IQ_NEWS",1,25,,,,,"News Date")</f>
        <v>News Date</v>
      </c>
      <c r="B6" s="83" t="str">
        <f>_xll.ciqfunctions.udf.CIQRANGE(Snapshot!C3,"IQ_NEWS",1,25,,,,,"News Headline")</f>
        <v>News Headline</v>
      </c>
      <c r="C6" s="83" t="str">
        <f>_xll.ciqfunctions.udf.CIQRANGE(Snapshot!C3,"IQ_NEWS",1,25,,,,,"News Source")</f>
        <v>News Source</v>
      </c>
      <c r="D6" s="83" t="str">
        <f>_xll.ciqfunctions.udf.CIQRANGE(Snapshot!C3,"IQ_NEWS",1,25,,,,,"News URL")</f>
        <v>News URL</v>
      </c>
      <c r="E6" s="54"/>
    </row>
    <row r="7" spans="1:6" x14ac:dyDescent="0.25">
      <c r="A7" s="58" t="str">
        <f>_xll.ciqfunctions.udf.CIQ("meta", "IQ_NEWS", 1)</f>
        <v>DeepSeek eyes 50B yuan funding; ChangXin Memory plans $8.5B IPO</v>
      </c>
      <c r="B7" s="59" t="str">
        <f>_xll.ciqfunctions.udf.CIQ("meta", "IQ_NEWS", 1)</f>
        <v>DeepSeek eyes 50B yuan funding; ChangXin Memory plans $8.5B IPO</v>
      </c>
      <c r="C7" s="59" t="str">
        <f>_xll.ciqfunctions.udf.CIQ("meta", "IQ_NEWS", 1)</f>
        <v>DeepSeek eyes 50B yuan funding; ChangXin Memory plans $8.5B IPO</v>
      </c>
      <c r="D7" s="55" t="str">
        <f>_xll.ciqfunctions.udf.CIQ("meta", "IQ_NEWS", 1)</f>
        <v>DeepSeek eyes 50B yuan funding; ChangXin Memory plans $8.5B IPO</v>
      </c>
    </row>
    <row r="8" spans="1:6" x14ac:dyDescent="0.25">
      <c r="A8" s="58" t="str">
        <f>_xll.ciqfunctions.udf.CIQ("meta", "IQ_NEWS", 2)</f>
        <v>Entergy, MHI Group to partner on carbon capture projects</v>
      </c>
      <c r="B8" s="59" t="str">
        <f>_xll.ciqfunctions.udf.CIQ("meta", "IQ_NEWS", 2)</f>
        <v>Entergy, MHI Group to partner on carbon capture projects</v>
      </c>
      <c r="C8" s="59" t="str">
        <f>_xll.ciqfunctions.udf.CIQ("meta", "IQ_NEWS", 2)</f>
        <v>Entergy, MHI Group to partner on carbon capture projects</v>
      </c>
      <c r="D8" s="55" t="str">
        <f>_xll.ciqfunctions.udf.CIQ("meta", "IQ_NEWS", 2)</f>
        <v>Entergy, MHI Group to partner on carbon capture projects</v>
      </c>
    </row>
    <row r="9" spans="1:6" x14ac:dyDescent="0.25">
      <c r="A9" s="58" t="str">
        <f>_xll.ciqfunctions.udf.CIQ("meta", "IQ_NEWS", 3)</f>
        <v>Lionsgate explores sale amid takeover interest; IBM stock dives after Q2 warning</v>
      </c>
      <c r="B9" s="59" t="str">
        <f>_xll.ciqfunctions.udf.CIQ("meta", "IQ_NEWS", 3)</f>
        <v>Lionsgate explores sale amid takeover interest; IBM stock dives after Q2 warning</v>
      </c>
      <c r="C9" s="59" t="str">
        <f>_xll.ciqfunctions.udf.CIQ("meta", "IQ_NEWS", 3)</f>
        <v>Lionsgate explores sale amid takeover interest; IBM stock dives after Q2 warning</v>
      </c>
      <c r="D9" s="55" t="str">
        <f>_xll.ciqfunctions.udf.CIQ("meta", "IQ_NEWS", 3)</f>
        <v>Lionsgate explores sale amid takeover interest; IBM stock dives after Q2 warning</v>
      </c>
    </row>
    <row r="10" spans="1:6" x14ac:dyDescent="0.25">
      <c r="A10" s="58" t="str">
        <f>_xll.ciqfunctions.udf.CIQ("meta", "IQ_NEWS", 4)</f>
        <v>Renewables remain most cost-competitive; New Jersey seeks 1.1 GW of new nuclear</v>
      </c>
      <c r="B10" s="59" t="str">
        <f>_xll.ciqfunctions.udf.CIQ("meta", "IQ_NEWS", 4)</f>
        <v>Renewables remain most cost-competitive; New Jersey seeks 1.1 GW of new nuclear</v>
      </c>
      <c r="C10" s="59" t="str">
        <f>_xll.ciqfunctions.udf.CIQ("meta", "IQ_NEWS", 4)</f>
        <v>Renewables remain most cost-competitive; New Jersey seeks 1.1 GW of new nuclear</v>
      </c>
      <c r="D10" s="55" t="str">
        <f>_xll.ciqfunctions.udf.CIQ("meta", "IQ_NEWS", 4)</f>
        <v>Renewables remain most cost-competitive; New Jersey seeks 1.1 GW of new nuclear</v>
      </c>
    </row>
    <row r="11" spans="1:6" x14ac:dyDescent="0.25">
      <c r="A11" s="58" t="str">
        <f>_xll.ciqfunctions.udf.CIQ("meta", "IQ_NEWS", 5)</f>
        <v>EU pledges social media ban for children; Intel invests €5B in Ireland</v>
      </c>
      <c r="B11" s="59" t="str">
        <f>_xll.ciqfunctions.udf.CIQ("meta", "IQ_NEWS", 5)</f>
        <v>EU pledges social media ban for children; Intel invests €5B in Ireland</v>
      </c>
      <c r="C11" s="59" t="str">
        <f>_xll.ciqfunctions.udf.CIQ("meta", "IQ_NEWS", 5)</f>
        <v>EU pledges social media ban for children; Intel invests €5B in Ireland</v>
      </c>
      <c r="D11" s="55" t="str">
        <f>_xll.ciqfunctions.udf.CIQ("meta", "IQ_NEWS", 5)</f>
        <v>EU pledges social media ban for children; Intel invests €5B in Ireland</v>
      </c>
    </row>
    <row r="12" spans="1:6" x14ac:dyDescent="0.25">
      <c r="A12" s="58" t="str">
        <f>_xll.ciqfunctions.udf.CIQ("meta", "IQ_NEWS", 6)</f>
        <v>Morgan Stanley, Citigroup lead media, telecom debt underwriters through Q2 2026</v>
      </c>
      <c r="B12" s="59" t="str">
        <f>_xll.ciqfunctions.udf.CIQ("meta", "IQ_NEWS", 6)</f>
        <v>Morgan Stanley, Citigroup lead media, telecom debt underwriters through Q2 2026</v>
      </c>
      <c r="C12" s="59" t="str">
        <f>_xll.ciqfunctions.udf.CIQ("meta", "IQ_NEWS", 6)</f>
        <v>Morgan Stanley, Citigroup lead media, telecom debt underwriters through Q2 2026</v>
      </c>
      <c r="D12" s="55" t="str">
        <f>_xll.ciqfunctions.udf.CIQ("meta", "IQ_NEWS", 6)</f>
        <v>Morgan Stanley, Citigroup lead media, telecom debt underwriters through Q2 2026</v>
      </c>
    </row>
    <row r="13" spans="1:6" x14ac:dyDescent="0.25">
      <c r="A13" s="58" t="str">
        <f>_xll.ciqfunctions.udf.CIQ("meta", "IQ_NEWS", 7)</f>
        <v>EU finds Meta in breach of digital rules; Xavier Niel to buy e&amp;'s Vodafone stake</v>
      </c>
      <c r="B13" s="59" t="str">
        <f>_xll.ciqfunctions.udf.CIQ("meta", "IQ_NEWS", 7)</f>
        <v>EU finds Meta in breach of digital rules; Xavier Niel to buy e&amp;'s Vodafone stake</v>
      </c>
      <c r="C13" s="59" t="str">
        <f>_xll.ciqfunctions.udf.CIQ("meta", "IQ_NEWS", 7)</f>
        <v>EU finds Meta in breach of digital rules; Xavier Niel to buy e&amp;'s Vodafone stake</v>
      </c>
      <c r="D13" s="55" t="str">
        <f>_xll.ciqfunctions.udf.CIQ("meta", "IQ_NEWS", 7)</f>
        <v>EU finds Meta in breach of digital rules; Xavier Niel to buy e&amp;'s Vodafone stake</v>
      </c>
    </row>
    <row r="14" spans="1:6" x14ac:dyDescent="0.25">
      <c r="A14" s="58" t="str">
        <f>_xll.ciqfunctions.udf.CIQ("meta", "IQ_NEWS", 8)</f>
        <v>From Fortnite to smart frames: Gaming growth, hardware inflation, AR innovation</v>
      </c>
      <c r="B14" s="59" t="str">
        <f>_xll.ciqfunctions.udf.CIQ("meta", "IQ_NEWS", 8)</f>
        <v>From Fortnite to smart frames: Gaming growth, hardware inflation, AR innovation</v>
      </c>
      <c r="C14" s="59" t="str">
        <f>_xll.ciqfunctions.udf.CIQ("meta", "IQ_NEWS", 8)</f>
        <v>From Fortnite to smart frames: Gaming growth, hardware inflation, AR innovation</v>
      </c>
      <c r="D14" s="55" t="str">
        <f>_xll.ciqfunctions.udf.CIQ("meta", "IQ_NEWS", 8)</f>
        <v>From Fortnite to smart frames: Gaming growth, hardware inflation, AR innovation</v>
      </c>
    </row>
    <row r="15" spans="1:6" x14ac:dyDescent="0.25">
      <c r="A15" s="58" t="str">
        <f>_xll.ciqfunctions.udf.CIQ("meta", "IQ_NEWS", 9)</f>
        <v>EU accepts SAP commitments; Banijay Entertainment, All3Media complete merger</v>
      </c>
      <c r="B15" s="59" t="str">
        <f>_xll.ciqfunctions.udf.CIQ("meta", "IQ_NEWS", 9)</f>
        <v>EU accepts SAP commitments; Banijay Entertainment, All3Media complete merger</v>
      </c>
      <c r="C15" s="59" t="str">
        <f>_xll.ciqfunctions.udf.CIQ("meta", "IQ_NEWS", 9)</f>
        <v>EU accepts SAP commitments; Banijay Entertainment, All3Media complete merger</v>
      </c>
      <c r="D15" s="55" t="str">
        <f>_xll.ciqfunctions.udf.CIQ("meta", "IQ_NEWS", 9)</f>
        <v>EU accepts SAP commitments; Banijay Entertainment, All3Media complete merger</v>
      </c>
    </row>
    <row r="16" spans="1:6" x14ac:dyDescent="0.25">
      <c r="A16" s="58" t="str">
        <f>_xll.ciqfunctions.udf.CIQ("meta", "IQ_NEWS", 10)</f>
        <v>Micron boosts US investments to $250B; Meta sets AI chip production start</v>
      </c>
      <c r="B16" s="59" t="str">
        <f>_xll.ciqfunctions.udf.CIQ("meta", "IQ_NEWS", 10)</f>
        <v>Micron boosts US investments to $250B; Meta sets AI chip production start</v>
      </c>
      <c r="C16" s="59" t="str">
        <f>_xll.ciqfunctions.udf.CIQ("meta", "IQ_NEWS", 10)</f>
        <v>Micron boosts US investments to $250B; Meta sets AI chip production start</v>
      </c>
      <c r="D16" s="55" t="str">
        <f>_xll.ciqfunctions.udf.CIQ("meta", "IQ_NEWS", 10)</f>
        <v>Micron boosts US investments to $250B; Meta sets AI chip production start</v>
      </c>
    </row>
    <row r="17" spans="1:4" x14ac:dyDescent="0.25">
      <c r="A17" s="58" t="str">
        <f>_xll.ciqfunctions.udf.CIQ("meta", "IQ_NEWS", 11)</f>
        <v>PM Edition: Freeport seeks to boost output rate; Alpiq buys into Harmony Energy</v>
      </c>
      <c r="B17" s="59" t="str">
        <f>_xll.ciqfunctions.udf.CIQ("meta", "IQ_NEWS", 11)</f>
        <v>PM Edition: Freeport seeks to boost output rate; Alpiq buys into Harmony Energy</v>
      </c>
      <c r="C17" s="59" t="str">
        <f>_xll.ciqfunctions.udf.CIQ("meta", "IQ_NEWS", 11)</f>
        <v>PM Edition: Freeport seeks to boost output rate; Alpiq buys into Harmony Energy</v>
      </c>
      <c r="D17" s="55" t="str">
        <f>_xll.ciqfunctions.udf.CIQ("meta", "IQ_NEWS", 11)</f>
        <v>PM Edition: Freeport seeks to boost output rate; Alpiq buys into Harmony Energy</v>
      </c>
    </row>
    <row r="18" spans="1:4" x14ac:dyDescent="0.25">
      <c r="A18" s="58" t="str">
        <f>_xll.ciqfunctions.udf.CIQ("meta", "IQ_NEWS", 12)</f>
        <v>Microsoft slashes 4,800 jobs; Meta names chief data officer</v>
      </c>
      <c r="B18" s="59" t="str">
        <f>_xll.ciqfunctions.udf.CIQ("meta", "IQ_NEWS", 12)</f>
        <v>Microsoft slashes 4,800 jobs; Meta names chief data officer</v>
      </c>
      <c r="C18" s="59" t="str">
        <f>_xll.ciqfunctions.udf.CIQ("meta", "IQ_NEWS", 12)</f>
        <v>Microsoft slashes 4,800 jobs; Meta names chief data officer</v>
      </c>
      <c r="D18" s="55" t="str">
        <f>_xll.ciqfunctions.udf.CIQ("meta", "IQ_NEWS", 12)</f>
        <v>Microsoft slashes 4,800 jobs; Meta names chief data officer</v>
      </c>
    </row>
    <row r="19" spans="1:4" x14ac:dyDescent="0.25">
      <c r="A19" s="58" t="str">
        <f>_xll.ciqfunctions.udf.CIQ("meta", "IQ_NEWS", 13)</f>
        <v>AI stock rally staggers as investors turn more selective</v>
      </c>
      <c r="B19" s="59" t="str">
        <f>_xll.ciqfunctions.udf.CIQ("meta", "IQ_NEWS", 13)</f>
        <v>AI stock rally staggers as investors turn more selective</v>
      </c>
      <c r="C19" s="59" t="str">
        <f>_xll.ciqfunctions.udf.CIQ("meta", "IQ_NEWS", 13)</f>
        <v>AI stock rally staggers as investors turn more selective</v>
      </c>
      <c r="D19" s="55" t="str">
        <f>_xll.ciqfunctions.udf.CIQ("meta", "IQ_NEWS", 13)</f>
        <v>AI stock rally staggers as investors turn more selective</v>
      </c>
    </row>
    <row r="20" spans="1:4" x14ac:dyDescent="0.25">
      <c r="A20" s="58" t="str">
        <f>_xll.ciqfunctions.udf.CIQ("meta", "IQ_NEWS", 14)</f>
        <v>Meta breaks ground on gas-powered data center; DOE loans AEP Texas up to $3.26B</v>
      </c>
      <c r="B20" s="59" t="str">
        <f>_xll.ciqfunctions.udf.CIQ("meta", "IQ_NEWS", 14)</f>
        <v>Meta breaks ground on gas-powered data center; DOE loans AEP Texas up to $3.26B</v>
      </c>
      <c r="C20" s="59" t="str">
        <f>_xll.ciqfunctions.udf.CIQ("meta", "IQ_NEWS", 14)</f>
        <v>Meta breaks ground on gas-powered data center; DOE loans AEP Texas up to $3.26B</v>
      </c>
      <c r="D20" s="55" t="str">
        <f>_xll.ciqfunctions.udf.CIQ("meta", "IQ_NEWS", 14)</f>
        <v>Meta breaks ground on gas-powered data center; DOE loans AEP Texas up to $3.26B</v>
      </c>
    </row>
    <row r="21" spans="1:4" x14ac:dyDescent="0.25">
      <c r="A21" s="58" t="str">
        <f>_xll.ciqfunctions.udf.CIQ("meta", "IQ_NEWS", 15)</f>
        <v>Meta plans C$13B Canada data center; SpaceX seeks FCC nod for 100,000 satellites</v>
      </c>
      <c r="B21" s="59" t="str">
        <f>_xll.ciqfunctions.udf.CIQ("meta", "IQ_NEWS", 15)</f>
        <v>Meta plans C$13B Canada data center; SpaceX seeks FCC nod for 100,000 satellites</v>
      </c>
      <c r="C21" s="59" t="str">
        <f>_xll.ciqfunctions.udf.CIQ("meta", "IQ_NEWS", 15)</f>
        <v>Meta plans C$13B Canada data center; SpaceX seeks FCC nod for 100,000 satellites</v>
      </c>
      <c r="D21" s="55" t="str">
        <f>_xll.ciqfunctions.udf.CIQ("meta", "IQ_NEWS", 15)</f>
        <v>Meta plans C$13B Canada data center; SpaceX seeks FCC nod for 100,000 satellites</v>
      </c>
    </row>
    <row r="22" spans="1:4" x14ac:dyDescent="0.25">
      <c r="A22" s="58" t="str">
        <f>_xll.ciqfunctions.udf.CIQ("meta", "IQ_NEWS", 16)</f>
        <v>SoftBank launches US AI compute firm; Alibaba, AUS Merchant settle US DOJ probe</v>
      </c>
      <c r="B22" s="59" t="str">
        <f>_xll.ciqfunctions.udf.CIQ("meta", "IQ_NEWS", 16)</f>
        <v>SoftBank launches US AI compute firm; Alibaba, AUS Merchant settle US DOJ probe</v>
      </c>
      <c r="C22" s="59" t="str">
        <f>_xll.ciqfunctions.udf.CIQ("meta", "IQ_NEWS", 16)</f>
        <v>SoftBank launches US AI compute firm; Alibaba, AUS Merchant settle US DOJ probe</v>
      </c>
      <c r="D22" s="55" t="str">
        <f>_xll.ciqfunctions.udf.CIQ("meta", "IQ_NEWS", 16)</f>
        <v>SoftBank launches US AI compute firm; Alibaba, AUS Merchant settle US DOJ probe</v>
      </c>
    </row>
    <row r="23" spans="1:4" x14ac:dyDescent="0.25">
      <c r="A23" s="58" t="str">
        <f>_xll.ciqfunctions.udf.CIQ("meta", "IQ_NEWS", 17)</f>
        <v>Meta breaks ground on C$13B gas-powered AI data center in Alberta</v>
      </c>
      <c r="B23" s="59" t="str">
        <f>_xll.ciqfunctions.udf.CIQ("meta", "IQ_NEWS", 17)</f>
        <v>Meta breaks ground on C$13B gas-powered AI data center in Alberta</v>
      </c>
      <c r="C23" s="59" t="str">
        <f>_xll.ciqfunctions.udf.CIQ("meta", "IQ_NEWS", 17)</f>
        <v>Meta breaks ground on C$13B gas-powered AI data center in Alberta</v>
      </c>
      <c r="D23" s="55" t="str">
        <f>_xll.ciqfunctions.udf.CIQ("meta", "IQ_NEWS", 17)</f>
        <v>Meta breaks ground on C$13B gas-powered AI data center in Alberta</v>
      </c>
    </row>
    <row r="24" spans="1:4" x14ac:dyDescent="0.25">
      <c r="A24" s="58" t="str">
        <f>_xll.ciqfunctions.udf.CIQ("meta", "IQ_NEWS", 18)</f>
        <v>Apple loses EU tech rules appeal; Virgin Media fined £28M by UK regulator</v>
      </c>
      <c r="B24" s="59" t="str">
        <f>_xll.ciqfunctions.udf.CIQ("meta", "IQ_NEWS", 18)</f>
        <v>Apple loses EU tech rules appeal; Virgin Media fined £28M by UK regulator</v>
      </c>
      <c r="C24" s="59" t="str">
        <f>_xll.ciqfunctions.udf.CIQ("meta", "IQ_NEWS", 18)</f>
        <v>Apple loses EU tech rules appeal; Virgin Media fined £28M by UK regulator</v>
      </c>
      <c r="D24" s="55" t="str">
        <f>_xll.ciqfunctions.udf.CIQ("meta", "IQ_NEWS", 18)</f>
        <v>Apple loses EU tech rules appeal; Virgin Media fined £28M by UK regulator</v>
      </c>
    </row>
    <row r="25" spans="1:4" x14ac:dyDescent="0.25">
      <c r="A25" s="58" t="str">
        <f>_xll.ciqfunctions.udf.CIQ("meta", "IQ_NEWS", 19)</f>
        <v>GenAI funding falls in Q2 2026 as large players start moving to public markets</v>
      </c>
      <c r="B25" s="59" t="str">
        <f>_xll.ciqfunctions.udf.CIQ("meta", "IQ_NEWS", 19)</f>
        <v>GenAI funding falls in Q2 2026 as large players start moving to public markets</v>
      </c>
      <c r="C25" s="59" t="str">
        <f>_xll.ciqfunctions.udf.CIQ("meta", "IQ_NEWS", 19)</f>
        <v>GenAI funding falls in Q2 2026 as large players start moving to public markets</v>
      </c>
      <c r="D25" s="55" t="str">
        <f>_xll.ciqfunctions.udf.CIQ("meta", "IQ_NEWS", 19)</f>
        <v>GenAI funding falls in Q2 2026 as large players start moving to public markets</v>
      </c>
    </row>
    <row r="26" spans="1:4" x14ac:dyDescent="0.25">
      <c r="A26" s="58" t="str">
        <f>_xll.ciqfunctions.udf.CIQ("meta", "IQ_NEWS", 20)</f>
        <v>Apple commits $30B to Broadcom deal; Netflix, Disney, YouTube eye World Cup bid</v>
      </c>
      <c r="B26" s="59" t="str">
        <f>_xll.ciqfunctions.udf.CIQ("meta", "IQ_NEWS", 20)</f>
        <v>Apple commits $30B to Broadcom deal; Netflix, Disney, YouTube eye World Cup bid</v>
      </c>
      <c r="C26" s="59" t="str">
        <f>_xll.ciqfunctions.udf.CIQ("meta", "IQ_NEWS", 20)</f>
        <v>Apple commits $30B to Broadcom deal; Netflix, Disney, YouTube eye World Cup bid</v>
      </c>
      <c r="D26" s="55" t="str">
        <f>_xll.ciqfunctions.udf.CIQ("meta", "IQ_NEWS", 20)</f>
        <v>Apple commits $30B to Broadcom deal; Netflix, Disney, YouTube eye World Cup bid</v>
      </c>
    </row>
    <row r="27" spans="1:4" x14ac:dyDescent="0.25">
      <c r="A27" s="58" t="str">
        <f>_xll.ciqfunctions.udf.CIQ("meta", "IQ_NEWS", 21)</f>
        <v>Adapture Renewables starts up 185-MW solar farm in Arkansas</v>
      </c>
      <c r="B27" s="59" t="str">
        <f>_xll.ciqfunctions.udf.CIQ("meta", "IQ_NEWS", 21)</f>
        <v>Adapture Renewables starts up 185-MW solar farm in Arkansas</v>
      </c>
      <c r="C27" s="59" t="str">
        <f>_xll.ciqfunctions.udf.CIQ("meta", "IQ_NEWS", 21)</f>
        <v>Adapture Renewables starts up 185-MW solar farm in Arkansas</v>
      </c>
      <c r="D27" s="55" t="str">
        <f>_xll.ciqfunctions.udf.CIQ("meta", "IQ_NEWS", 21)</f>
        <v>Adapture Renewables starts up 185-MW solar farm in Arkansas</v>
      </c>
    </row>
    <row r="28" spans="1:4" x14ac:dyDescent="0.25">
      <c r="A28" s="58" t="str">
        <f>_xll.ciqfunctions.udf.CIQ("meta", "IQ_NEWS", 22)</f>
        <v>Google invests in nuclear fusion startup; data center company Csquare plans IPO</v>
      </c>
      <c r="B28" s="59" t="str">
        <f>_xll.ciqfunctions.udf.CIQ("meta", "IQ_NEWS", 22)</f>
        <v>Google invests in nuclear fusion startup; data center company Csquare plans IPO</v>
      </c>
      <c r="C28" s="59" t="str">
        <f>_xll.ciqfunctions.udf.CIQ("meta", "IQ_NEWS", 22)</f>
        <v>Google invests in nuclear fusion startup; data center company Csquare plans IPO</v>
      </c>
      <c r="D28" s="55" t="str">
        <f>_xll.ciqfunctions.udf.CIQ("meta", "IQ_NEWS", 22)</f>
        <v>Google invests in nuclear fusion startup; data center company Csquare plans IPO</v>
      </c>
    </row>
    <row r="29" spans="1:4" x14ac:dyDescent="0.25">
      <c r="A29" s="58" t="str">
        <f>_xll.ciqfunctions.udf.CIQ("meta", "IQ_NEWS", 23)</f>
        <v>Comcast's Sky to acquire ITV unit; Denmark intervenes in EU publishers' case</v>
      </c>
      <c r="B29" s="59" t="str">
        <f>_xll.ciqfunctions.udf.CIQ("meta", "IQ_NEWS", 23)</f>
        <v>Comcast's Sky to acquire ITV unit; Denmark intervenes in EU publishers' case</v>
      </c>
      <c r="C29" s="59" t="str">
        <f>_xll.ciqfunctions.udf.CIQ("meta", "IQ_NEWS", 23)</f>
        <v>Comcast's Sky to acquire ITV unit; Denmark intervenes in EU publishers' case</v>
      </c>
      <c r="D29" s="55" t="str">
        <f>_xll.ciqfunctions.udf.CIQ("meta", "IQ_NEWS", 23)</f>
        <v>Comcast's Sky to acquire ITV unit; Denmark intervenes in EU publishers' case</v>
      </c>
    </row>
    <row r="30" spans="1:4" x14ac:dyDescent="0.25">
      <c r="A30" s="58" t="str">
        <f>_xll.ciqfunctions.udf.CIQ("meta", "IQ_NEWS", 24)</f>
        <v>Mega-cap tech stocks lead S&amp;P 500 losses in June; Zoom agrees to acquire AI firm</v>
      </c>
      <c r="B30" s="59" t="str">
        <f>_xll.ciqfunctions.udf.CIQ("meta", "IQ_NEWS", 24)</f>
        <v>Mega-cap tech stocks lead S&amp;P 500 losses in June; Zoom agrees to acquire AI firm</v>
      </c>
      <c r="C30" s="59" t="str">
        <f>_xll.ciqfunctions.udf.CIQ("meta", "IQ_NEWS", 24)</f>
        <v>Mega-cap tech stocks lead S&amp;P 500 losses in June; Zoom agrees to acquire AI firm</v>
      </c>
      <c r="D30" s="55" t="str">
        <f>_xll.ciqfunctions.udf.CIQ("meta", "IQ_NEWS", 24)</f>
        <v>Mega-cap tech stocks lead S&amp;P 500 losses in June; Zoom agrees to acquire AI firm</v>
      </c>
    </row>
    <row r="31" spans="1:4" x14ac:dyDescent="0.25">
      <c r="A31" s="58" t="str">
        <f>_xll.ciqfunctions.udf.CIQ("meta", "IQ_NEWS", 25)</f>
        <v>Apple plans 5 new iPhone models; SoftBank forming US neocloud company</v>
      </c>
      <c r="B31" s="59" t="str">
        <f>_xll.ciqfunctions.udf.CIQ("meta", "IQ_NEWS", 25)</f>
        <v>Apple plans 5 new iPhone models; SoftBank forming US neocloud company</v>
      </c>
      <c r="C31" s="59" t="str">
        <f>_xll.ciqfunctions.udf.CIQ("meta", "IQ_NEWS", 25)</f>
        <v>Apple plans 5 new iPhone models; SoftBank forming US neocloud company</v>
      </c>
      <c r="D31" s="55" t="str">
        <f>_xll.ciqfunctions.udf.CIQ("meta", "IQ_NEWS", 25)</f>
        <v>Apple plans 5 new iPhone models; SoftBank forming US neocloud company</v>
      </c>
    </row>
    <row r="32" spans="1:4" x14ac:dyDescent="0.25">
      <c r="A32" s="58"/>
      <c r="B32" s="59"/>
      <c r="C32" s="59"/>
      <c r="D32" s="55"/>
    </row>
    <row r="33" spans="1:4" x14ac:dyDescent="0.25">
      <c r="A33" s="58"/>
      <c r="B33" s="59"/>
      <c r="C33" s="59"/>
      <c r="D33" s="55"/>
    </row>
    <row r="34" spans="1:4" x14ac:dyDescent="0.25">
      <c r="A34" s="58"/>
      <c r="B34" s="59"/>
      <c r="C34" s="59"/>
      <c r="D34" s="55"/>
    </row>
    <row r="35" spans="1:4" x14ac:dyDescent="0.25">
      <c r="A35" s="58"/>
      <c r="B35" s="59"/>
      <c r="C35" s="59"/>
      <c r="D35" s="55"/>
    </row>
    <row r="38" spans="1:4" x14ac:dyDescent="0.25">
      <c r="A38" s="60"/>
    </row>
    <row r="39" spans="1:4" x14ac:dyDescent="0.25">
      <c r="A39" s="59"/>
    </row>
    <row r="41" spans="1:4" x14ac:dyDescent="0.25">
      <c r="A41" t="str">
        <f>_xll.ciqfunctions.udf.CIQ("googl", "IQ_NEWS", 2)</f>
        <v>PayPal weighs options with Goldman, Evercore amid buyout bid – Bloomberg</v>
      </c>
    </row>
    <row r="42" spans="1:4" x14ac:dyDescent="0.25">
      <c r="A42" t="str">
        <f>_xll.ciqfunctions.udf.CIQ("googl", "IQ_NEWS", 3)</f>
        <v>Burgeoning ad business expected to boost Netflix's Q2 2026 results, analysts say</v>
      </c>
    </row>
    <row r="43" spans="1:4" x14ac:dyDescent="0.25">
      <c r="A43">
        <f>_xll.ciqfunctions.udf.CIQ("googl", "IQ_NEWS", 4)</f>
        <v>0</v>
      </c>
    </row>
    <row r="44" spans="1:4" x14ac:dyDescent="0.25">
      <c r="A44" t="str">
        <f>_xll.ciqfunctions.udf.CIQ("googl", "IQ_NEWS", 5)</f>
        <v>FCC's vote on TV-station ownership cap; China's approval of Apple's AI tools</v>
      </c>
    </row>
    <row r="45" spans="1:4" x14ac:dyDescent="0.25">
      <c r="A45">
        <f>_xll.ciqfunctions.udf.CIQ("googl", "IQ_NEWS", 6)</f>
        <v>0</v>
      </c>
    </row>
    <row r="46" spans="1:4" x14ac:dyDescent="0.25">
      <c r="A46" t="str">
        <f>_xll.ciqfunctions.udf.CIQ("googl", "IQ_NEWS", 7)</f>
        <v>Cypress Creek begins construction on 2.5-GWdc solar, storage project for Google</v>
      </c>
    </row>
    <row r="47" spans="1:4" x14ac:dyDescent="0.25">
      <c r="A47" t="str">
        <f>_xll.ciqfunctions.udf.CIQ("googl", "IQ_NEWS", 8)</f>
        <v>Energy projected to lead Q2 earnings gains among S&amp;P 500 sectors</v>
      </c>
    </row>
    <row r="48" spans="1:4" x14ac:dyDescent="0.25">
      <c r="A48" t="str">
        <f>_xll.ciqfunctions.udf.CIQ("googl", "IQ_NEWS", 9)</f>
        <v>Goldman Sachs touts high-profile equity assignments in Q2 2026</v>
      </c>
    </row>
    <row r="49" spans="1:1" x14ac:dyDescent="0.25">
      <c r="A49" t="str">
        <f>_xll.ciqfunctions.udf.CIQ("googl", "IQ_NEWS", 10)</f>
        <v>12 US states sue to block Paramount-WBD deal; Intel invests €5B at Ireland site</v>
      </c>
    </row>
    <row r="50" spans="1:1" x14ac:dyDescent="0.25">
      <c r="A50" t="str">
        <f>_xll.ciqfunctions.udf.CIQ("googl", "IQ_NEWS", 11)</f>
        <v>Morgan Stanley, Citigroup lead media, telecom debt underwriters through Q2 2026</v>
      </c>
    </row>
    <row r="51" spans="1:1" x14ac:dyDescent="0.25">
      <c r="A51" t="str">
        <f>_xll.ciqfunctions.udf.CIQ("googl", "IQ_NEWS", 12)</f>
        <v>EU accepts SAP commitments; Banijay Entertainment, All3Media complete merger</v>
      </c>
    </row>
    <row r="52" spans="1:1" x14ac:dyDescent="0.25">
      <c r="A52" t="str">
        <f>_xll.ciqfunctions.udf.CIQ("googl", "IQ_NEWS", 13)</f>
        <v>SoftBank launches US AI compute firm; Alibaba, AUS Merchant settle US DOJ probe</v>
      </c>
    </row>
    <row r="53" spans="1:1" x14ac:dyDescent="0.25">
      <c r="A53" t="str">
        <f>_xll.ciqfunctions.udf.CIQ("googl", "IQ_NEWS", 14)</f>
        <v>Apple commits $30B to Broadcom deal; Netflix, Disney, YouTube eye World Cup bid</v>
      </c>
    </row>
    <row r="54" spans="1:1" x14ac:dyDescent="0.25">
      <c r="A54" t="str">
        <f>_xll.ciqfunctions.udf.CIQ("googl", "IQ_NEWS", 15)</f>
        <v>I Squared Capital to acquire Milestone; Unity invests in Meaden &amp; Moore</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7"/>
  <sheetViews>
    <sheetView workbookViewId="0">
      <selection activeCell="B5" sqref="B5"/>
    </sheetView>
  </sheetViews>
  <sheetFormatPr defaultRowHeight="15" x14ac:dyDescent="0.25"/>
  <cols>
    <col min="1" max="1" width="30" customWidth="1"/>
    <col min="2" max="2" width="22" customWidth="1"/>
  </cols>
  <sheetData>
    <row r="1" spans="1:13" ht="24" customHeight="1" x14ac:dyDescent="0.25">
      <c r="A1" s="87" t="s">
        <v>315</v>
      </c>
      <c r="B1" s="88"/>
    </row>
    <row r="2" spans="1:13" x14ac:dyDescent="0.25">
      <c r="A2" s="89" t="s">
        <v>316</v>
      </c>
      <c r="B2" s="88"/>
    </row>
    <row r="4" spans="1:13" x14ac:dyDescent="0.25">
      <c r="A4" s="5" t="s">
        <v>317</v>
      </c>
      <c r="B4" s="32" t="str">
        <f>Snapshot!D7</f>
        <v>Meta Platforms, Inc.</v>
      </c>
    </row>
    <row r="5" spans="1:13" x14ac:dyDescent="0.25">
      <c r="A5" s="5" t="s">
        <v>47</v>
      </c>
      <c r="B5" s="29">
        <f ca="1">Snapshot!D15</f>
        <v>664.54</v>
      </c>
    </row>
    <row r="6" spans="1:13" x14ac:dyDescent="0.25">
      <c r="A6" s="5" t="s">
        <v>318</v>
      </c>
      <c r="B6" s="33">
        <f ca="1">Snapshot!D16</f>
        <v>1686883.82244</v>
      </c>
    </row>
    <row r="7" spans="1:13" x14ac:dyDescent="0.25">
      <c r="A7" s="5" t="s">
        <v>319</v>
      </c>
      <c r="B7" s="50">
        <f ca="1">Snapshot!D24</f>
        <v>0.1981972492250279</v>
      </c>
      <c r="C7" s="38"/>
    </row>
    <row r="8" spans="1:13" x14ac:dyDescent="0.25">
      <c r="A8" s="5" t="s">
        <v>320</v>
      </c>
      <c r="B8" s="33">
        <f>History!H5</f>
        <v>214963</v>
      </c>
      <c r="M8" s="38"/>
    </row>
    <row r="9" spans="1:13" x14ac:dyDescent="0.25">
      <c r="A9" s="5" t="s">
        <v>321</v>
      </c>
      <c r="B9" s="30">
        <f>History!I5</f>
        <v>14.255073267286789</v>
      </c>
      <c r="L9" s="38"/>
    </row>
    <row r="10" spans="1:13" x14ac:dyDescent="0.25">
      <c r="A10" s="5" t="s">
        <v>322</v>
      </c>
      <c r="B10" s="30">
        <f>History!H7</f>
        <v>81.940613035731729</v>
      </c>
    </row>
    <row r="11" spans="1:13" x14ac:dyDescent="0.25">
      <c r="A11" s="5" t="s">
        <v>323</v>
      </c>
      <c r="B11" s="30">
        <f>History!H9</f>
        <v>41.213139005317196</v>
      </c>
    </row>
    <row r="12" spans="1:13" x14ac:dyDescent="0.25">
      <c r="A12" s="5" t="s">
        <v>324</v>
      </c>
      <c r="B12" s="30">
        <f>History!H12</f>
        <v>32.83681377725469</v>
      </c>
    </row>
    <row r="13" spans="1:13" x14ac:dyDescent="0.25">
      <c r="A13" s="5" t="s">
        <v>325</v>
      </c>
      <c r="B13" s="33">
        <f>History!H15</f>
        <v>48253</v>
      </c>
    </row>
    <row r="14" spans="1:13" x14ac:dyDescent="0.25">
      <c r="A14" s="5" t="s">
        <v>326</v>
      </c>
      <c r="B14" s="30">
        <f>History!H16</f>
        <v>22.447118806492281</v>
      </c>
    </row>
    <row r="15" spans="1:13" x14ac:dyDescent="0.25">
      <c r="A15" s="5" t="s">
        <v>327</v>
      </c>
      <c r="B15" s="30">
        <f>Snapshot!D35</f>
        <v>2.7900726381718601</v>
      </c>
      <c r="C15" s="38"/>
    </row>
    <row r="16" spans="1:13" x14ac:dyDescent="0.25">
      <c r="A16" s="5" t="s">
        <v>313</v>
      </c>
      <c r="B16" s="34">
        <f ca="1">Snapshot!D42</f>
        <v>5.1130749807882313E-2</v>
      </c>
      <c r="C16" s="38"/>
    </row>
    <row r="17" spans="1:3" x14ac:dyDescent="0.25">
      <c r="A17" s="5" t="s">
        <v>328</v>
      </c>
      <c r="B17" s="30">
        <f>History!H31</f>
        <v>28.317487062221687</v>
      </c>
    </row>
    <row r="18" spans="1:3" x14ac:dyDescent="0.25">
      <c r="A18" s="5" t="s">
        <v>329</v>
      </c>
      <c r="B18" s="30">
        <f>History!I33</f>
        <v>-2.5911094776387866</v>
      </c>
    </row>
    <row r="19" spans="1:3" x14ac:dyDescent="0.25">
      <c r="A19" s="5" t="s">
        <v>77</v>
      </c>
      <c r="B19" s="34">
        <f>Snapshot!D25</f>
        <v>24.174859999999999</v>
      </c>
      <c r="C19" s="38"/>
    </row>
    <row r="20" spans="1:3" x14ac:dyDescent="0.25">
      <c r="A20" s="5" t="s">
        <v>280</v>
      </c>
      <c r="B20" s="34">
        <f ca="1">Snapshot!D28</f>
        <v>14.919740000000001</v>
      </c>
      <c r="C20" s="38"/>
    </row>
    <row r="22" spans="1:3" x14ac:dyDescent="0.25">
      <c r="A22" s="24" t="s">
        <v>330</v>
      </c>
      <c r="B22" s="25"/>
    </row>
    <row r="23" spans="1:3" x14ac:dyDescent="0.25">
      <c r="A23" s="5" t="s">
        <v>331</v>
      </c>
      <c r="B23" s="32" t="str">
        <f>IFERROR(IF(History!H11&gt;0,"yes","no"),"")</f>
        <v>yes</v>
      </c>
    </row>
    <row r="24" spans="1:3" x14ac:dyDescent="0.25">
      <c r="A24" s="5" t="s">
        <v>332</v>
      </c>
      <c r="B24" s="32" t="str">
        <f>IFERROR(IF(History!H15&gt;0,"yes","no"),"")</f>
        <v>yes</v>
      </c>
    </row>
    <row r="25" spans="1:3" x14ac:dyDescent="0.25">
      <c r="A25" s="5" t="s">
        <v>333</v>
      </c>
      <c r="B25" s="32" t="str">
        <f>IFERROR(IF(History!I5&gt;0,"yes","no"),"")</f>
        <v>yes</v>
      </c>
    </row>
    <row r="26" spans="1:3" x14ac:dyDescent="0.25">
      <c r="A26" s="5" t="s">
        <v>334</v>
      </c>
      <c r="B26" s="32" t="str">
        <f>IFERROR(IF(History!I33&gt;1,"yes","no"),"")</f>
        <v>no</v>
      </c>
    </row>
    <row r="27" spans="1:3" x14ac:dyDescent="0.25">
      <c r="A27" s="5" t="s">
        <v>335</v>
      </c>
      <c r="B27" s="32" t="str">
        <f ca="1">IFERROR(IF(Snapshot!D42&gt;3,"yes","no"),"")</f>
        <v>no</v>
      </c>
    </row>
  </sheetData>
  <mergeCells count="2">
    <mergeCell ref="A2:B2"/>
    <mergeCell ref="A1:B1"/>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23"/>
  <sheetViews>
    <sheetView workbookViewId="0">
      <selection activeCell="A6" sqref="A6"/>
    </sheetView>
  </sheetViews>
  <sheetFormatPr defaultRowHeight="15" x14ac:dyDescent="0.25"/>
  <cols>
    <col min="1" max="1" width="116" customWidth="1"/>
  </cols>
  <sheetData>
    <row r="1" spans="1:1" ht="18" customHeight="1" x14ac:dyDescent="0.25">
      <c r="A1" s="35" t="s">
        <v>336</v>
      </c>
    </row>
    <row r="2" spans="1:1" x14ac:dyDescent="0.25">
      <c r="A2" s="36"/>
    </row>
    <row r="3" spans="1:1" x14ac:dyDescent="0.25">
      <c r="A3" s="37" t="s">
        <v>337</v>
      </c>
    </row>
    <row r="4" spans="1:1" x14ac:dyDescent="0.25">
      <c r="A4" s="36" t="s">
        <v>338</v>
      </c>
    </row>
    <row r="5" spans="1:1" x14ac:dyDescent="0.25">
      <c r="A5" s="36" t="s">
        <v>339</v>
      </c>
    </row>
    <row r="6" spans="1:1" x14ac:dyDescent="0.25">
      <c r="A6" s="36" t="s">
        <v>340</v>
      </c>
    </row>
    <row r="7" spans="1:1" x14ac:dyDescent="0.25">
      <c r="A7" s="36" t="s">
        <v>341</v>
      </c>
    </row>
    <row r="8" spans="1:1" x14ac:dyDescent="0.25">
      <c r="A8" s="36"/>
    </row>
    <row r="9" spans="1:1" x14ac:dyDescent="0.25">
      <c r="A9" s="37" t="s">
        <v>342</v>
      </c>
    </row>
    <row r="10" spans="1:1" x14ac:dyDescent="0.25">
      <c r="A10" s="36" t="s">
        <v>343</v>
      </c>
    </row>
    <row r="11" spans="1:1" x14ac:dyDescent="0.25">
      <c r="A11" s="36" t="s">
        <v>344</v>
      </c>
    </row>
    <row r="12" spans="1:1" x14ac:dyDescent="0.25">
      <c r="A12" s="36"/>
    </row>
    <row r="13" spans="1:1" x14ac:dyDescent="0.25">
      <c r="A13" s="37" t="s">
        <v>345</v>
      </c>
    </row>
    <row r="14" spans="1:1" x14ac:dyDescent="0.25">
      <c r="A14" s="36" t="s">
        <v>346</v>
      </c>
    </row>
    <row r="15" spans="1:1" x14ac:dyDescent="0.25">
      <c r="A15" s="36" t="s">
        <v>347</v>
      </c>
    </row>
    <row r="16" spans="1:1" x14ac:dyDescent="0.25">
      <c r="A16" s="36" t="s">
        <v>348</v>
      </c>
    </row>
    <row r="18" spans="1:1" x14ac:dyDescent="0.25">
      <c r="A18" s="1" t="s">
        <v>349</v>
      </c>
    </row>
    <row r="19" spans="1:1" x14ac:dyDescent="0.25">
      <c r="A19" s="72" t="s">
        <v>350</v>
      </c>
    </row>
    <row r="20" spans="1:1" x14ac:dyDescent="0.25">
      <c r="A20" s="72" t="s">
        <v>351</v>
      </c>
    </row>
    <row r="21" spans="1:1" x14ac:dyDescent="0.25">
      <c r="A21" s="72" t="s">
        <v>352</v>
      </c>
    </row>
    <row r="22" spans="1:1" x14ac:dyDescent="0.25">
      <c r="A22" s="72" t="s">
        <v>353</v>
      </c>
    </row>
    <row r="23" spans="1:1" x14ac:dyDescent="0.25">
      <c r="A23" s="72" t="s">
        <v>354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43"/>
  <sheetViews>
    <sheetView workbookViewId="0"/>
  </sheetViews>
  <sheetFormatPr defaultRowHeight="15" x14ac:dyDescent="0.25"/>
  <cols>
    <col min="1" max="1" width="30" customWidth="1"/>
    <col min="2" max="2" width="10" customWidth="1"/>
  </cols>
  <sheetData>
    <row r="1" spans="1:5" x14ac:dyDescent="0.25">
      <c r="A1" s="61" t="s">
        <v>355</v>
      </c>
      <c r="B1" s="61" t="s">
        <v>356</v>
      </c>
      <c r="D1" s="61" t="s">
        <v>357</v>
      </c>
      <c r="E1" s="55" t="str">
        <f>IFERROR(LOOKUP(2,1/ISNUMBER(SEARCH($A$2:$A$43,Snapshot!$D$9)),$B$2:$B$43),".O")</f>
        <v>.O</v>
      </c>
    </row>
    <row r="2" spans="1:5" x14ac:dyDescent="0.25">
      <c r="A2" s="55" t="s">
        <v>358</v>
      </c>
      <c r="B2" s="55" t="s">
        <v>359</v>
      </c>
    </row>
    <row r="3" spans="1:5" x14ac:dyDescent="0.25">
      <c r="A3" s="55" t="s">
        <v>360</v>
      </c>
      <c r="B3" s="55" t="s">
        <v>359</v>
      </c>
    </row>
    <row r="4" spans="1:5" x14ac:dyDescent="0.25">
      <c r="A4" s="55" t="s">
        <v>361</v>
      </c>
      <c r="B4" s="55" t="s">
        <v>362</v>
      </c>
    </row>
    <row r="5" spans="1:5" x14ac:dyDescent="0.25">
      <c r="A5" s="55" t="s">
        <v>363</v>
      </c>
      <c r="B5" s="55" t="s">
        <v>364</v>
      </c>
    </row>
    <row r="6" spans="1:5" x14ac:dyDescent="0.25">
      <c r="A6" s="55" t="s">
        <v>365</v>
      </c>
      <c r="B6" s="55" t="s">
        <v>366</v>
      </c>
    </row>
    <row r="7" spans="1:5" x14ac:dyDescent="0.25">
      <c r="A7" s="55" t="s">
        <v>367</v>
      </c>
      <c r="B7" s="55" t="s">
        <v>368</v>
      </c>
    </row>
    <row r="8" spans="1:5" x14ac:dyDescent="0.25">
      <c r="A8" s="55" t="s">
        <v>369</v>
      </c>
      <c r="B8" s="55" t="s">
        <v>368</v>
      </c>
    </row>
    <row r="9" spans="1:5" x14ac:dyDescent="0.25">
      <c r="A9" s="55" t="s">
        <v>370</v>
      </c>
      <c r="B9" s="55" t="s">
        <v>371</v>
      </c>
    </row>
    <row r="10" spans="1:5" x14ac:dyDescent="0.25">
      <c r="A10" s="55" t="s">
        <v>372</v>
      </c>
      <c r="B10" s="55" t="s">
        <v>373</v>
      </c>
    </row>
    <row r="11" spans="1:5" x14ac:dyDescent="0.25">
      <c r="A11" s="55" t="s">
        <v>374</v>
      </c>
      <c r="B11" s="55" t="s">
        <v>375</v>
      </c>
    </row>
    <row r="12" spans="1:5" x14ac:dyDescent="0.25">
      <c r="A12" s="55" t="s">
        <v>376</v>
      </c>
      <c r="B12" s="55" t="s">
        <v>377</v>
      </c>
    </row>
    <row r="13" spans="1:5" x14ac:dyDescent="0.25">
      <c r="A13" s="55" t="s">
        <v>378</v>
      </c>
      <c r="B13" s="55" t="s">
        <v>377</v>
      </c>
    </row>
    <row r="14" spans="1:5" x14ac:dyDescent="0.25">
      <c r="A14" s="55" t="s">
        <v>379</v>
      </c>
      <c r="B14" s="55" t="s">
        <v>380</v>
      </c>
    </row>
    <row r="15" spans="1:5" x14ac:dyDescent="0.25">
      <c r="A15" s="55" t="s">
        <v>381</v>
      </c>
      <c r="B15" s="55" t="s">
        <v>382</v>
      </c>
    </row>
    <row r="16" spans="1:5" x14ac:dyDescent="0.25">
      <c r="A16" s="55" t="s">
        <v>383</v>
      </c>
      <c r="B16" s="55" t="s">
        <v>384</v>
      </c>
    </row>
    <row r="17" spans="1:2" x14ac:dyDescent="0.25">
      <c r="A17" s="55" t="s">
        <v>385</v>
      </c>
      <c r="B17" s="55" t="s">
        <v>386</v>
      </c>
    </row>
    <row r="18" spans="1:2" x14ac:dyDescent="0.25">
      <c r="A18" s="55" t="s">
        <v>387</v>
      </c>
      <c r="B18" s="55" t="s">
        <v>388</v>
      </c>
    </row>
    <row r="19" spans="1:2" x14ac:dyDescent="0.25">
      <c r="A19" s="55" t="s">
        <v>389</v>
      </c>
      <c r="B19" s="55" t="s">
        <v>388</v>
      </c>
    </row>
    <row r="20" spans="1:2" x14ac:dyDescent="0.25">
      <c r="A20" s="55" t="s">
        <v>390</v>
      </c>
      <c r="B20" s="55" t="s">
        <v>391</v>
      </c>
    </row>
    <row r="21" spans="1:2" x14ac:dyDescent="0.25">
      <c r="A21" s="55" t="s">
        <v>392</v>
      </c>
      <c r="B21" s="55" t="s">
        <v>391</v>
      </c>
    </row>
    <row r="22" spans="1:2" x14ac:dyDescent="0.25">
      <c r="A22" s="55" t="s">
        <v>393</v>
      </c>
      <c r="B22" s="55" t="s">
        <v>394</v>
      </c>
    </row>
    <row r="23" spans="1:2" x14ac:dyDescent="0.25">
      <c r="A23" s="55" t="s">
        <v>395</v>
      </c>
      <c r="B23" s="55" t="s">
        <v>396</v>
      </c>
    </row>
    <row r="24" spans="1:2" x14ac:dyDescent="0.25">
      <c r="A24" s="55" t="s">
        <v>397</v>
      </c>
      <c r="B24" s="55" t="s">
        <v>398</v>
      </c>
    </row>
    <row r="25" spans="1:2" x14ac:dyDescent="0.25">
      <c r="A25" s="55" t="s">
        <v>399</v>
      </c>
      <c r="B25" s="55" t="s">
        <v>400</v>
      </c>
    </row>
    <row r="26" spans="1:2" x14ac:dyDescent="0.25">
      <c r="A26" s="55" t="s">
        <v>401</v>
      </c>
      <c r="B26" s="55" t="s">
        <v>402</v>
      </c>
    </row>
    <row r="27" spans="1:2" x14ac:dyDescent="0.25">
      <c r="A27" s="55" t="s">
        <v>403</v>
      </c>
      <c r="B27" s="55" t="s">
        <v>404</v>
      </c>
    </row>
    <row r="28" spans="1:2" x14ac:dyDescent="0.25">
      <c r="A28" s="55" t="s">
        <v>405</v>
      </c>
      <c r="B28" s="55" t="s">
        <v>406</v>
      </c>
    </row>
    <row r="29" spans="1:2" x14ac:dyDescent="0.25">
      <c r="A29" s="55" t="s">
        <v>407</v>
      </c>
      <c r="B29" s="55" t="s">
        <v>408</v>
      </c>
    </row>
    <row r="30" spans="1:2" x14ac:dyDescent="0.25">
      <c r="A30" s="55" t="s">
        <v>409</v>
      </c>
      <c r="B30" s="55" t="s">
        <v>408</v>
      </c>
    </row>
    <row r="31" spans="1:2" x14ac:dyDescent="0.25">
      <c r="A31" s="55" t="s">
        <v>410</v>
      </c>
      <c r="B31" s="55" t="s">
        <v>411</v>
      </c>
    </row>
    <row r="32" spans="1:2" x14ac:dyDescent="0.25">
      <c r="A32" s="55" t="s">
        <v>412</v>
      </c>
      <c r="B32" s="55" t="s">
        <v>413</v>
      </c>
    </row>
    <row r="33" spans="1:2" x14ac:dyDescent="0.25">
      <c r="A33" s="55" t="s">
        <v>414</v>
      </c>
      <c r="B33" s="55" t="s">
        <v>415</v>
      </c>
    </row>
    <row r="34" spans="1:2" x14ac:dyDescent="0.25">
      <c r="A34" s="55" t="s">
        <v>416</v>
      </c>
      <c r="B34" s="55" t="s">
        <v>415</v>
      </c>
    </row>
    <row r="35" spans="1:2" x14ac:dyDescent="0.25">
      <c r="A35" s="55" t="s">
        <v>417</v>
      </c>
      <c r="B35" s="55" t="s">
        <v>418</v>
      </c>
    </row>
    <row r="36" spans="1:2" x14ac:dyDescent="0.25">
      <c r="A36" s="55" t="s">
        <v>419</v>
      </c>
      <c r="B36" s="55" t="s">
        <v>420</v>
      </c>
    </row>
    <row r="37" spans="1:2" x14ac:dyDescent="0.25">
      <c r="A37" s="55" t="s">
        <v>421</v>
      </c>
      <c r="B37" s="55" t="s">
        <v>420</v>
      </c>
    </row>
    <row r="38" spans="1:2" x14ac:dyDescent="0.25">
      <c r="A38" s="55" t="s">
        <v>422</v>
      </c>
      <c r="B38" s="55" t="s">
        <v>423</v>
      </c>
    </row>
    <row r="39" spans="1:2" x14ac:dyDescent="0.25">
      <c r="A39" s="55" t="s">
        <v>424</v>
      </c>
      <c r="B39" s="55" t="s">
        <v>425</v>
      </c>
    </row>
    <row r="40" spans="1:2" x14ac:dyDescent="0.25">
      <c r="A40" s="55" t="s">
        <v>426</v>
      </c>
      <c r="B40" s="55" t="s">
        <v>427</v>
      </c>
    </row>
    <row r="41" spans="1:2" x14ac:dyDescent="0.25">
      <c r="A41" s="55" t="s">
        <v>428</v>
      </c>
      <c r="B41" s="55" t="s">
        <v>427</v>
      </c>
    </row>
    <row r="42" spans="1:2" x14ac:dyDescent="0.25">
      <c r="A42" s="55" t="s">
        <v>429</v>
      </c>
      <c r="B42" s="55" t="s">
        <v>430</v>
      </c>
    </row>
    <row r="43" spans="1:2" x14ac:dyDescent="0.25">
      <c r="A43" s="55" t="s">
        <v>431</v>
      </c>
      <c r="B43" s="55" t="s">
        <v>430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Snapshot</vt:lpstr>
      <vt:lpstr>History</vt:lpstr>
      <vt:lpstr>Valuation</vt:lpstr>
      <vt:lpstr>Peers</vt:lpstr>
      <vt:lpstr>News</vt:lpstr>
      <vt:lpstr>Dashboard</vt:lpstr>
      <vt:lpstr>Instructions</vt:lpstr>
      <vt:lpstr>_RICMap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Serban B Valentin-Daniel</cp:lastModifiedBy>
  <dcterms:created xsi:type="dcterms:W3CDTF">2026-07-16T15:39:47Z</dcterms:created>
  <dcterms:modified xsi:type="dcterms:W3CDTF">2026-07-16T21:32:18Z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owerlinkCOMAddIn.COMAddIn.WebAddinBridge.Options">
    <vt:lpwstr>{"port":50160,"version":"1.26.718"}</vt:lpwstr>
  </property>
</Properties>
</file>