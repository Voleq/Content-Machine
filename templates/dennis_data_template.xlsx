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volig\AppData\Roaming\Claude\local-agent-mode-sessions\584e3a2f-2e25-4c98-8c52-6f57ba7fadac\437a8277-32aa-4b96-a177-7333fcb51083\local_163e59aa-78a4-4f3f-9d46-7283e8c241af\outputs\"/>
    </mc:Choice>
  </mc:AlternateContent>
  <xr:revisionPtr revIDLastSave="0" documentId="13_ncr:1_{3BFF4EB1-7142-40E1-A6E8-CD322501B74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napshot" sheetId="1" r:id="rId1"/>
    <sheet name="History" sheetId="2" r:id="rId2"/>
    <sheet name="Valuation" sheetId="3" r:id="rId3"/>
    <sheet name="Peers" sheetId="4" r:id="rId4"/>
    <sheet name="Dashboard" sheetId="5" r:id="rId5"/>
    <sheet name="Instructions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4" l="1"/>
  <c r="D13" i="1" l="1"/>
  <c r="D7" i="1"/>
  <c r="H33" i="2"/>
  <c r="G33" i="2"/>
  <c r="F33" i="2"/>
  <c r="E33" i="2"/>
  <c r="D33" i="2"/>
  <c r="C33" i="2"/>
  <c r="D44" i="1"/>
  <c r="H21" i="2"/>
  <c r="F11" i="2"/>
  <c r="H10" i="2"/>
  <c r="D21" i="2"/>
  <c r="C21" i="2"/>
  <c r="D40" i="1"/>
  <c r="C14" i="2"/>
  <c r="G6" i="2"/>
  <c r="H19" i="2"/>
  <c r="F13" i="2"/>
  <c r="E13" i="2"/>
  <c r="D38" i="1"/>
  <c r="F17" i="2"/>
  <c r="D10" i="2"/>
  <c r="C22" i="2"/>
  <c r="E11" i="2"/>
  <c r="C24" i="2"/>
  <c r="D42" i="1"/>
  <c r="D14" i="2"/>
  <c r="D8" i="2"/>
  <c r="D27" i="1"/>
  <c r="D23" i="1"/>
  <c r="F20" i="2"/>
  <c r="F10" i="2"/>
  <c r="D20" i="2"/>
  <c r="D6" i="1"/>
  <c r="C13" i="2"/>
  <c r="G11" i="2"/>
  <c r="D45" i="1"/>
  <c r="C25" i="2"/>
  <c r="C11" i="2"/>
  <c r="F8" i="2"/>
  <c r="D21" i="1"/>
  <c r="H20" i="2"/>
  <c r="D8" i="1"/>
  <c r="G13" i="2"/>
  <c r="D25" i="1"/>
  <c r="G17" i="2"/>
  <c r="D25" i="2"/>
  <c r="C10" i="2"/>
  <c r="H25" i="2"/>
  <c r="D19" i="1"/>
  <c r="D37" i="1"/>
  <c r="D24" i="2"/>
  <c r="D28" i="1"/>
  <c r="D11" i="1"/>
  <c r="C8" i="2"/>
  <c r="H24" i="2"/>
  <c r="D49" i="1"/>
  <c r="H6" i="2"/>
  <c r="D29" i="1"/>
  <c r="D17" i="1"/>
  <c r="G8" i="2"/>
  <c r="C6" i="2"/>
  <c r="F19" i="2"/>
  <c r="H14" i="2"/>
  <c r="H11" i="2"/>
  <c r="D12" i="1"/>
  <c r="D22" i="2"/>
  <c r="G24" i="2"/>
  <c r="D46" i="1"/>
  <c r="F21" i="2"/>
  <c r="G26" i="2"/>
  <c r="D6" i="2"/>
  <c r="D41" i="1"/>
  <c r="E25" i="2"/>
  <c r="D13" i="2"/>
  <c r="E21" i="2"/>
  <c r="G20" i="2"/>
  <c r="D5" i="2"/>
  <c r="E17" i="2"/>
  <c r="D17" i="2"/>
  <c r="H8" i="2"/>
  <c r="C17" i="2"/>
  <c r="H13" i="2"/>
  <c r="E6" i="2"/>
  <c r="D26" i="2"/>
  <c r="D47" i="1"/>
  <c r="E14" i="2"/>
  <c r="D26" i="1"/>
  <c r="G25" i="2"/>
  <c r="E20" i="2"/>
  <c r="D20" i="1"/>
  <c r="E10" i="2"/>
  <c r="G21" i="2"/>
  <c r="F14" i="2"/>
  <c r="F25" i="2"/>
  <c r="F26" i="2"/>
  <c r="H22" i="2"/>
  <c r="D48" i="1"/>
  <c r="D31" i="1"/>
  <c r="G10" i="2"/>
  <c r="D43" i="1"/>
  <c r="D10" i="1"/>
  <c r="D35" i="1"/>
  <c r="G22" i="2"/>
  <c r="F24" i="2"/>
  <c r="E26" i="2"/>
  <c r="D16" i="1"/>
  <c r="D30" i="1"/>
  <c r="H5" i="2"/>
  <c r="C26" i="2"/>
  <c r="D11" i="2"/>
  <c r="G14" i="2"/>
  <c r="E8" i="2"/>
  <c r="F5" i="2"/>
  <c r="E19" i="2"/>
  <c r="D14" i="1"/>
  <c r="C20" i="2"/>
  <c r="D9" i="1"/>
  <c r="D33" i="1"/>
  <c r="D24" i="1"/>
  <c r="E5" i="2"/>
  <c r="F6" i="2"/>
  <c r="D15" i="1"/>
  <c r="F22" i="2"/>
  <c r="G19" i="2"/>
  <c r="D19" i="2"/>
  <c r="D34" i="1"/>
  <c r="E24" i="2"/>
  <c r="H26" i="2"/>
  <c r="C5" i="2"/>
  <c r="D18" i="1"/>
  <c r="H17" i="2"/>
  <c r="E22" i="2"/>
  <c r="C19" i="2"/>
  <c r="G5" i="2"/>
  <c r="F18" i="2" l="1"/>
  <c r="H23" i="2"/>
  <c r="H27" i="2" s="1"/>
  <c r="F34" i="2"/>
  <c r="G18" i="2"/>
  <c r="I33" i="2"/>
  <c r="G34" i="2"/>
  <c r="E34" i="2"/>
  <c r="D39" i="1"/>
  <c r="I5" i="2"/>
  <c r="C9" i="2"/>
  <c r="H18" i="2"/>
  <c r="H34" i="2"/>
  <c r="C18" i="2"/>
  <c r="D18" i="2"/>
  <c r="E18" i="2"/>
  <c r="C7" i="2"/>
  <c r="F9" i="2"/>
  <c r="E15" i="2"/>
  <c r="D34" i="2"/>
  <c r="E9" i="2"/>
  <c r="B20" i="5"/>
  <c r="D7" i="2"/>
  <c r="I8" i="2"/>
  <c r="G9" i="2"/>
  <c r="C12" i="2"/>
  <c r="C32" i="2"/>
  <c r="C28" i="2"/>
  <c r="C31" i="2"/>
  <c r="F15" i="2"/>
  <c r="D32" i="1"/>
  <c r="B19" i="5"/>
  <c r="E7" i="2"/>
  <c r="H9" i="2"/>
  <c r="B11" i="5" s="1"/>
  <c r="D32" i="2"/>
  <c r="D12" i="2"/>
  <c r="D31" i="2"/>
  <c r="D28" i="2"/>
  <c r="G15" i="2"/>
  <c r="I13" i="2"/>
  <c r="C30" i="2"/>
  <c r="G23" i="2"/>
  <c r="G27" i="2" s="1"/>
  <c r="E32" i="2"/>
  <c r="E31" i="2"/>
  <c r="E12" i="2"/>
  <c r="E28" i="2"/>
  <c r="I6" i="2"/>
  <c r="G7" i="2"/>
  <c r="F32" i="2"/>
  <c r="F31" i="2"/>
  <c r="F28" i="2"/>
  <c r="F12" i="2"/>
  <c r="E30" i="2"/>
  <c r="B15" i="5"/>
  <c r="B8" i="5"/>
  <c r="I10" i="2"/>
  <c r="D15" i="2"/>
  <c r="H7" i="2"/>
  <c r="B10" i="5" s="1"/>
  <c r="I11" i="2"/>
  <c r="G32" i="2"/>
  <c r="G28" i="2"/>
  <c r="G31" i="2"/>
  <c r="G12" i="2"/>
  <c r="F30" i="2"/>
  <c r="E23" i="2"/>
  <c r="E27" i="2" s="1"/>
  <c r="D36" i="1"/>
  <c r="F23" i="2"/>
  <c r="F27" i="2" s="1"/>
  <c r="D9" i="2"/>
  <c r="H15" i="2"/>
  <c r="B5" i="3"/>
  <c r="B5" i="5"/>
  <c r="D22" i="1"/>
  <c r="B7" i="5" s="1"/>
  <c r="H32" i="2"/>
  <c r="B23" i="5"/>
  <c r="H31" i="2"/>
  <c r="B17" i="5" s="1"/>
  <c r="H28" i="2"/>
  <c r="B6" i="3" s="1"/>
  <c r="H12" i="2"/>
  <c r="B12" i="5" s="1"/>
  <c r="C23" i="2"/>
  <c r="C27" i="2" s="1"/>
  <c r="G30" i="2"/>
  <c r="C15" i="2"/>
  <c r="B27" i="5"/>
  <c r="B16" i="5"/>
  <c r="F7" i="2"/>
  <c r="D30" i="2"/>
  <c r="B6" i="5"/>
  <c r="D23" i="2"/>
  <c r="D27" i="2" s="1"/>
  <c r="H30" i="2"/>
  <c r="B4" i="5"/>
  <c r="B10" i="3" l="1"/>
  <c r="E10" i="3" s="1"/>
  <c r="F10" i="3" s="1"/>
  <c r="B11" i="3"/>
  <c r="E11" i="3" s="1"/>
  <c r="F11" i="3" s="1"/>
  <c r="B12" i="3"/>
  <c r="E12" i="3" s="1"/>
  <c r="F12" i="3" s="1"/>
  <c r="F16" i="2"/>
  <c r="F29" i="2"/>
  <c r="B9" i="5"/>
  <c r="B25" i="5"/>
  <c r="D16" i="2"/>
  <c r="D29" i="2"/>
  <c r="B26" i="5"/>
  <c r="B18" i="5"/>
  <c r="G16" i="2"/>
  <c r="G29" i="2"/>
  <c r="I15" i="2"/>
  <c r="H16" i="2"/>
  <c r="B14" i="5" s="1"/>
  <c r="H29" i="2"/>
  <c r="B7" i="3" s="1"/>
  <c r="B13" i="5"/>
  <c r="B24" i="5"/>
  <c r="C16" i="2"/>
  <c r="C29" i="2"/>
  <c r="E16" i="2"/>
  <c r="E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Dennis</author>
  </authors>
  <commentList>
    <comment ref="B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Set the RIC. Everything else auto-pulls via the add-in.</t>
        </r>
      </text>
    </comment>
  </commentList>
</comments>
</file>

<file path=xl/sharedStrings.xml><?xml version="1.0" encoding="utf-8"?>
<sst xmlns="http://schemas.openxmlformats.org/spreadsheetml/2006/main" count="466" uniqueCount="338">
  <si>
    <t>DENNIS — data · latest snapshot (formulas pre-filled)</t>
  </si>
  <si>
    <t>Ticker / RIC -&gt;</t>
  </si>
  <si>
    <t>Green=auto add-in formula (verify mnemonic in last col). Grey=computed. Yellow=you set. % in points; currency absolute.</t>
  </si>
  <si>
    <t>Section</t>
  </si>
  <si>
    <t>field_key</t>
  </si>
  <si>
    <t>Label</t>
  </si>
  <si>
    <t>Value (auto)</t>
  </si>
  <si>
    <t>Field mnemonic (verify)</t>
  </si>
  <si>
    <t>Priority</t>
  </si>
  <si>
    <t>Identity</t>
  </si>
  <si>
    <t>company_name</t>
  </si>
  <si>
    <t>Company Name</t>
  </si>
  <si>
    <t>TR.CommonName</t>
  </si>
  <si>
    <t>Required</t>
  </si>
  <si>
    <t>ticker</t>
  </si>
  <si>
    <t>Ticker / RIC</t>
  </si>
  <si>
    <t>exchange</t>
  </si>
  <si>
    <t>Exchange</t>
  </si>
  <si>
    <t>TR.ExchangeName</t>
  </si>
  <si>
    <t>Recommended</t>
  </si>
  <si>
    <t>sector</t>
  </si>
  <si>
    <t>GICS Sector</t>
  </si>
  <si>
    <t>TR.GICSSector</t>
  </si>
  <si>
    <t>industry</t>
  </si>
  <si>
    <t>Industry</t>
  </si>
  <si>
    <t>TR.GICSIndustry</t>
  </si>
  <si>
    <t>Optional</t>
  </si>
  <si>
    <t>country</t>
  </si>
  <si>
    <t>Country</t>
  </si>
  <si>
    <t>TR.HeadquartersCountry</t>
  </si>
  <si>
    <t>currency</t>
  </si>
  <si>
    <t>Reporting Currency</t>
  </si>
  <si>
    <t>TR.FinancialCurrency</t>
  </si>
  <si>
    <t>as_of_date</t>
  </si>
  <si>
    <t>As-of Date</t>
  </si>
  <si>
    <t>Price &amp; Size</t>
  </si>
  <si>
    <t>price</t>
  </si>
  <si>
    <t>Price</t>
  </si>
  <si>
    <t>TR.PriceClose</t>
  </si>
  <si>
    <t>market_cap</t>
  </si>
  <si>
    <t>Market Cap</t>
  </si>
  <si>
    <t>TR.CompanyMarketCap</t>
  </si>
  <si>
    <t>enterprise_value</t>
  </si>
  <si>
    <t>Enterprise Value</t>
  </si>
  <si>
    <t>TR.EV</t>
  </si>
  <si>
    <t>shares_out</t>
  </si>
  <si>
    <t>Shares Outstanding</t>
  </si>
  <si>
    <t>TR.SharesOutstanding</t>
  </si>
  <si>
    <t>avg_volume_3m</t>
  </si>
  <si>
    <t>Avg Daily Volume (3m)</t>
  </si>
  <si>
    <t>TR.AvgDailyVolume3M</t>
  </si>
  <si>
    <t>beta</t>
  </si>
  <si>
    <t>Beta (5y)</t>
  </si>
  <si>
    <t>TR.Beta</t>
  </si>
  <si>
    <t>week52_high</t>
  </si>
  <si>
    <t>52-Week High</t>
  </si>
  <si>
    <t>TR.Price52WeekHigh</t>
  </si>
  <si>
    <t>week52_low</t>
  </si>
  <si>
    <t>52-Week Low</t>
  </si>
  <si>
    <t>TR.Price52WeekLow</t>
  </si>
  <si>
    <t>pct_from_52w_high</t>
  </si>
  <si>
    <t>% From 52w High</t>
  </si>
  <si>
    <t>computed</t>
  </si>
  <si>
    <t>Valuation (now)</t>
  </si>
  <si>
    <t>pe_ttm</t>
  </si>
  <si>
    <t>P/E (TTM)</t>
  </si>
  <si>
    <t>TR.PE</t>
  </si>
  <si>
    <t>forward_pe</t>
  </si>
  <si>
    <t>Forward P/E</t>
  </si>
  <si>
    <t>TR.FwdPE</t>
  </si>
  <si>
    <t>ps_ttm</t>
  </si>
  <si>
    <t>P/S (TTM)</t>
  </si>
  <si>
    <t>TR.PriceToSalesPerShare</t>
  </si>
  <si>
    <t>ev_ebitda</t>
  </si>
  <si>
    <t>EV / EBITDA</t>
  </si>
  <si>
    <t>TR.EVToEBITDA</t>
  </si>
  <si>
    <t>ev_sales</t>
  </si>
  <si>
    <t>EV / Sales</t>
  </si>
  <si>
    <t>TR.EVToSales</t>
  </si>
  <si>
    <t>ev_fcf</t>
  </si>
  <si>
    <t>EV / FCF</t>
  </si>
  <si>
    <t>TR.EVToFCF</t>
  </si>
  <si>
    <t>pb</t>
  </si>
  <si>
    <t>P / B</t>
  </si>
  <si>
    <t>TR.PriceToBVPerShare</t>
  </si>
  <si>
    <t>p_fcf</t>
  </si>
  <si>
    <t>P / FCF</t>
  </si>
  <si>
    <t>TR.PriceToFCFPerShare</t>
  </si>
  <si>
    <t>peg</t>
  </si>
  <si>
    <t>PEG</t>
  </si>
  <si>
    <t>TR.PEG</t>
  </si>
  <si>
    <t>earnings_yield</t>
  </si>
  <si>
    <t>Earnings Yield (%)</t>
  </si>
  <si>
    <t>fcf_yield</t>
  </si>
  <si>
    <t>FCF Yield (%)</t>
  </si>
  <si>
    <t>TR.FCFYield</t>
  </si>
  <si>
    <t>dividend_yield</t>
  </si>
  <si>
    <t>Dividend Yield (%)</t>
  </si>
  <si>
    <t>TR.DividendYield</t>
  </si>
  <si>
    <t>buyback_yield</t>
  </si>
  <si>
    <t>Buyback Yield (%)</t>
  </si>
  <si>
    <t>TR.BuybackYield</t>
  </si>
  <si>
    <t>shareholder_yield</t>
  </si>
  <si>
    <t>Shareholder Yield (%)</t>
  </si>
  <si>
    <t>Balance (now)</t>
  </si>
  <si>
    <t>cash_st</t>
  </si>
  <si>
    <t>Cash &amp; ST Investments</t>
  </si>
  <si>
    <t>TR.CashAndSTInvestments</t>
  </si>
  <si>
    <t>total_debt_now</t>
  </si>
  <si>
    <t>Total Debt</t>
  </si>
  <si>
    <t>TR.TotalDebtOutstanding</t>
  </si>
  <si>
    <t>net_debt_now</t>
  </si>
  <si>
    <t>Net Debt</t>
  </si>
  <si>
    <t>net_debt_ebitda_now</t>
  </si>
  <si>
    <t>Net Debt / EBITDA</t>
  </si>
  <si>
    <t>TR.NetDebtToEBITDA</t>
  </si>
  <si>
    <t>debt_to_equity</t>
  </si>
  <si>
    <t>Debt / Equity (%)</t>
  </si>
  <si>
    <t>TR.TotalDebtToTotalEquityPct</t>
  </si>
  <si>
    <t>current_ratio</t>
  </si>
  <si>
    <t>Current Ratio</t>
  </si>
  <si>
    <t>TR.CurrentRatio</t>
  </si>
  <si>
    <t>quick_ratio</t>
  </si>
  <si>
    <t>Quick Ratio</t>
  </si>
  <si>
    <t>TR.QuickRatio</t>
  </si>
  <si>
    <t>interest_coverage</t>
  </si>
  <si>
    <t>Interest Coverage</t>
  </si>
  <si>
    <t>TR.InterestCoverageRatio</t>
  </si>
  <si>
    <t>goodwill_intang</t>
  </si>
  <si>
    <t>Goodwill &amp; Intangibles</t>
  </si>
  <si>
    <t>TR.GoodwillGross</t>
  </si>
  <si>
    <t>tangible_bv</t>
  </si>
  <si>
    <t>Tangible BV / Share</t>
  </si>
  <si>
    <t>TR.TangibleBVPerShare</t>
  </si>
  <si>
    <t>Ownership &amp; Risk</t>
  </si>
  <si>
    <t>short_interest</t>
  </si>
  <si>
    <t>Short Interest (% float)</t>
  </si>
  <si>
    <t>TR.ShortInterestPercentOfFloat</t>
  </si>
  <si>
    <t>insider_own</t>
  </si>
  <si>
    <t>Insider Ownership (%)</t>
  </si>
  <si>
    <t>TR.InsiderPercentHeld</t>
  </si>
  <si>
    <t>institutional_own</t>
  </si>
  <si>
    <t>Institutional Own (%)</t>
  </si>
  <si>
    <t>TR.InstitutionsPercentHeld</t>
  </si>
  <si>
    <t>DENNIS — financial history (6 periods) + trend (formulas pre-filled)</t>
  </si>
  <si>
    <t>Green rows auto-pull per period; grey rows/CAGR auto-calc. Set the RIC on Snapshot; refresh.</t>
  </si>
  <si>
    <t>FY-4</t>
  </si>
  <si>
    <t>FY-3</t>
  </si>
  <si>
    <t>FY-2</t>
  </si>
  <si>
    <t>FY-1</t>
  </si>
  <si>
    <t>FY-0</t>
  </si>
  <si>
    <t>LTM</t>
  </si>
  <si>
    <t>CAGR FY-4-&gt;FY-0 %</t>
  </si>
  <si>
    <t>revenue</t>
  </si>
  <si>
    <t>Revenue</t>
  </si>
  <si>
    <t>TR.Revenue</t>
  </si>
  <si>
    <t>gross_profit</t>
  </si>
  <si>
    <t>Gross Profit</t>
  </si>
  <si>
    <t>TR.GrossProfit</t>
  </si>
  <si>
    <t>gross_margin</t>
  </si>
  <si>
    <t>Gross Margin %</t>
  </si>
  <si>
    <t>operating_income</t>
  </si>
  <si>
    <t>Operating Income</t>
  </si>
  <si>
    <t>TR.OperatingIncome</t>
  </si>
  <si>
    <t>operating_margin</t>
  </si>
  <si>
    <t>Operating Margin %</t>
  </si>
  <si>
    <t>ebitda</t>
  </si>
  <si>
    <t>EBITDA</t>
  </si>
  <si>
    <t>TR.EBITDA</t>
  </si>
  <si>
    <t>net_income</t>
  </si>
  <si>
    <t>Net Income</t>
  </si>
  <si>
    <t>TR.NetIncomeAfterTax</t>
  </si>
  <si>
    <t>net_margin</t>
  </si>
  <si>
    <t>Net Margin %</t>
  </si>
  <si>
    <t>operating_cf</t>
  </si>
  <si>
    <t>Operating Cash Flow</t>
  </si>
  <si>
    <t>TR.CashFromOperatingAct</t>
  </si>
  <si>
    <t>capex</t>
  </si>
  <si>
    <t>CapEx</t>
  </si>
  <si>
    <t>TR.CapitalExpenditures</t>
  </si>
  <si>
    <t>fcf</t>
  </si>
  <si>
    <t>Free Cash Flow</t>
  </si>
  <si>
    <t>fcf_margin</t>
  </si>
  <si>
    <t>FCF Margin %</t>
  </si>
  <si>
    <t>sbc</t>
  </si>
  <si>
    <t>Stock-Based Comp</t>
  </si>
  <si>
    <t>TR.StockBasedCompensation</t>
  </si>
  <si>
    <t>sbc_pct_rev</t>
  </si>
  <si>
    <t>SBC % of Revenue</t>
  </si>
  <si>
    <t>dividends_paid</t>
  </si>
  <si>
    <t>Dividends Paid</t>
  </si>
  <si>
    <t>TR.CommonDividendsPaid</t>
  </si>
  <si>
    <t>buybacks</t>
  </si>
  <si>
    <t>Buybacks</t>
  </si>
  <si>
    <t>TR.RepurchaseOfCommonStock</t>
  </si>
  <si>
    <t>cash</t>
  </si>
  <si>
    <t>Cash &amp; Equivalents</t>
  </si>
  <si>
    <t>total_debt</t>
  </si>
  <si>
    <t>net_debt</t>
  </si>
  <si>
    <t>total_equity</t>
  </si>
  <si>
    <t>Total Equity</t>
  </si>
  <si>
    <t>TR.TotalEquity</t>
  </si>
  <si>
    <t>total_assets</t>
  </si>
  <si>
    <t>Total Assets</t>
  </si>
  <si>
    <t>TR.TotalAssets</t>
  </si>
  <si>
    <t>invested_capital</t>
  </si>
  <si>
    <t>Invested Capital</t>
  </si>
  <si>
    <t>TR.InvestedCapital</t>
  </si>
  <si>
    <t>net_debt_ebitda</t>
  </si>
  <si>
    <t>eps</t>
  </si>
  <si>
    <t>EPS (diluted)</t>
  </si>
  <si>
    <t>fcf_ps</t>
  </si>
  <si>
    <t>FCF per Share</t>
  </si>
  <si>
    <t>bvps</t>
  </si>
  <si>
    <t>Book Value / Share</t>
  </si>
  <si>
    <t>roic</t>
  </si>
  <si>
    <t>ROIC %</t>
  </si>
  <si>
    <t>roe</t>
  </si>
  <si>
    <t>ROE %</t>
  </si>
  <si>
    <t>diluted_shares</t>
  </si>
  <si>
    <t>Diluted Shares</t>
  </si>
  <si>
    <t>TR.DilutedWeightedAvgShares</t>
  </si>
  <si>
    <t>shares_yoy</t>
  </si>
  <si>
    <t>Share Count YoY %</t>
  </si>
  <si>
    <t>DENNIS — valuation &amp; bear/base/bull</t>
  </si>
  <si>
    <t>Set bear/base/bull exit multiples (yellow); implied price + up/downside auto-calc vs current price.</t>
  </si>
  <si>
    <t>Inputs &amp; links</t>
  </si>
  <si>
    <t>Current price</t>
  </si>
  <si>
    <t>LTM EPS</t>
  </si>
  <si>
    <t>LTM FCF / share</t>
  </si>
  <si>
    <t>Scenario</t>
  </si>
  <si>
    <t>Metric</t>
  </si>
  <si>
    <t>(EPS)</t>
  </si>
  <si>
    <t>Exit multiple</t>
  </si>
  <si>
    <t>Implied price</t>
  </si>
  <si>
    <t>Upside %</t>
  </si>
  <si>
    <t>Bear</t>
  </si>
  <si>
    <t>EPS</t>
  </si>
  <si>
    <t>Base</t>
  </si>
  <si>
    <t>Bull</t>
  </si>
  <si>
    <t>Swap the metric to FCF/share (=B7) and use a P/FCF multiple for a cash-based valuation.</t>
  </si>
  <si>
    <t>DENNIS — peers (auto via PEERS(); optional / long-form)</t>
  </si>
  <si>
    <t>Auto-pulls Refinitiv's peer list for the ticker — no manual RICs. Optional: mainly for long-form context.</t>
  </si>
  <si>
    <t>Peer (auto)</t>
  </si>
  <si>
    <t>P/E</t>
  </si>
  <si>
    <t>EV/EBITDA</t>
  </si>
  <si>
    <t>P/S</t>
  </si>
  <si>
    <t>Rev Growth %</t>
  </si>
  <si>
    <t>Gross Mgn %</t>
  </si>
  <si>
    <t>Net Mgn %</t>
  </si>
  <si>
    <t>FCF Yield %</t>
  </si>
  <si>
    <t>NetDebt/EBITDA</t>
  </si>
  <si>
    <t>DENNIS — one-glance summary (feeds the numbers sheet)</t>
  </si>
  <si>
    <t>Auto from the other sheets. Flags are rough heuristics.</t>
  </si>
  <si>
    <t>Company</t>
  </si>
  <si>
    <t>Market cap</t>
  </si>
  <si>
    <t>% from 52w high</t>
  </si>
  <si>
    <t>Revenue (LTM)</t>
  </si>
  <si>
    <t>Revenue 4y CAGR</t>
  </si>
  <si>
    <t>Gross margin (LTM)</t>
  </si>
  <si>
    <t>Operating margin (LTM)</t>
  </si>
  <si>
    <t>Net margin (LTM)</t>
  </si>
  <si>
    <t>FCF (LTM)</t>
  </si>
  <si>
    <t>FCF margin (LTM)</t>
  </si>
  <si>
    <t>FCF yield</t>
  </si>
  <si>
    <t>Net debt / EBITDA</t>
  </si>
  <si>
    <t>ROIC (LTM)</t>
  </si>
  <si>
    <t>Share count 4y CAGR</t>
  </si>
  <si>
    <t>Quick flags</t>
  </si>
  <si>
    <t>Profitable? (LTM NI&gt;0)</t>
  </si>
  <si>
    <t>FCF positive? (LTM)</t>
  </si>
  <si>
    <t>Growing? (rev CAGR&gt;0)</t>
  </si>
  <si>
    <t>Diluting? (share CAGR&gt;1%)</t>
  </si>
  <si>
    <t>Over-levered? (ND/EBITDA&gt;3x)</t>
  </si>
  <si>
    <t>DENNIS — data template v3 (automated)</t>
  </si>
  <si>
    <t>What changed: the add-in TR formulas are PRE-FILLED. You just set the ticker.</t>
  </si>
  <si>
    <t xml:space="preserve">  1. Set the RIC in Snapshot!B2. Every green cell auto-pulls; grey cells auto-calc.</t>
  </si>
  <si>
    <t xml:space="preserve">  2. Make sure the LSEG/Refinitiv Excel add-in is loaded, then refresh ( / recalc ).</t>
  </si>
  <si>
    <t xml:space="preserve">  3. Verify the mnemonics in the last column against your entitlement — swap any that error.</t>
  </si>
  <si>
    <t xml:space="preserve">  4. Save as data.xlsx into the video workspace ( workspace/&lt;TICKER&gt;/&lt;date&gt;/ ).</t>
  </si>
  <si>
    <t>Peers auto-pull</t>
  </si>
  <si>
    <t xml:space="preserve">  The Peers sheet uses =TR("PEERS(&lt;ric&gt;)",...) to fetch Refinitiv's own peer list — no manual RICs.</t>
  </si>
  <si>
    <t xml:space="preserve">  Peers is optional and mainly for long-form; skip it for daily shorts.</t>
  </si>
  <si>
    <t>Notes</t>
  </si>
  <si>
    <t xml:space="preserve">  Cells show #NAME? until the add-in is loaded (the TR function) — that's expected, not a broken file.</t>
  </si>
  <si>
    <t xml:space="preserve">  % in POINTS. Currency absolute. Don't rename field_key rows. Bot reads sheets by name, periods dynamically.</t>
  </si>
  <si>
    <t xml:space="preserve">  On-screen the videos never name the data vendor.</t>
  </si>
  <si>
    <t>Oracle Corp</t>
  </si>
  <si>
    <t>International Business Machines Corp</t>
  </si>
  <si>
    <t>Microsoft Corp</t>
  </si>
  <si>
    <t>NULL</t>
  </si>
  <si>
    <t>PLTR.O</t>
  </si>
  <si>
    <t>ServiceNow Inc</t>
  </si>
  <si>
    <t>Datadog Inc</t>
  </si>
  <si>
    <t>Adobe Inc</t>
  </si>
  <si>
    <t>Salesforce Inc</t>
  </si>
  <si>
    <t>Intuit Inc</t>
  </si>
  <si>
    <t>CrowdStrike Holdings Inc</t>
  </si>
  <si>
    <t>MongoDB Inc</t>
  </si>
  <si>
    <t>Palo Alto Networks Inc</t>
  </si>
  <si>
    <t>Cloudflare Inc</t>
  </si>
  <si>
    <t>CoreWeave Inc</t>
  </si>
  <si>
    <t>DocuSign Inc</t>
  </si>
  <si>
    <t>Workday Inc</t>
  </si>
  <si>
    <t>Zoom Communications Inc</t>
  </si>
  <si>
    <t>Akamai Technologies Inc</t>
  </si>
  <si>
    <t>Atlassian Corp</t>
  </si>
  <si>
    <t>Fortinet Inc</t>
  </si>
  <si>
    <t>HubSpot Inc</t>
  </si>
  <si>
    <t>Zscaler Inc</t>
  </si>
  <si>
    <t>Autodesk Inc</t>
  </si>
  <si>
    <t>Nice Ltd</t>
  </si>
  <si>
    <t>Okta Inc</t>
  </si>
  <si>
    <t>Check Point Software Technologies Ltd</t>
  </si>
  <si>
    <t>Tyler Technologies Inc</t>
  </si>
  <si>
    <t>Dynatrace, Inc</t>
  </si>
  <si>
    <t>Elastic NV</t>
  </si>
  <si>
    <t>Shopify Inc</t>
  </si>
  <si>
    <t>Twilio Inc</t>
  </si>
  <si>
    <t>Veeva Systems Inc</t>
  </si>
  <si>
    <t>Axon Enterprise Inc</t>
  </si>
  <si>
    <t>Nutanix Inc</t>
  </si>
  <si>
    <t>Roper Technologies Inc</t>
  </si>
  <si>
    <t>Pegasystems Inc</t>
  </si>
  <si>
    <t>Rubrik Inc</t>
  </si>
  <si>
    <t>monday.com Ltd</t>
  </si>
  <si>
    <t>Zoominfo Technologies Inc</t>
  </si>
  <si>
    <t>Figma Inc</t>
  </si>
  <si>
    <t>SentinelOne Inc</t>
  </si>
  <si>
    <t>Alphabet Inc</t>
  </si>
  <si>
    <t>Parsons Corp</t>
  </si>
  <si>
    <t>Trimble Inc</t>
  </si>
  <si>
    <t>UiPath Inc</t>
  </si>
  <si>
    <t>Procore Technologies Inc</t>
  </si>
  <si>
    <t>CACI International Inc</t>
  </si>
  <si>
    <t>Commvault Systems Inc</t>
  </si>
  <si>
    <t>Five9 Inc</t>
  </si>
  <si>
    <t>GitLab Inc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</si>
</sst>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"/>
    <numFmt numFmtId="165" formatCode="\$#,##0.00;\(\$#,##0.00\);&quot;-&quot;"/>
    <numFmt numFmtId="166" formatCode="\$#,##0;\(\$#,##0\);&quot;-&quot;"/>
    <numFmt numFmtId="167" formatCode="#,##0;\(#,##0\);&quot;-&quot;"/>
    <numFmt numFmtId="168" formatCode="0.00;\(0.00\);&quot;-&quot;"/>
    <numFmt numFmtId="169" formatCode="0.0;\(0.0\);&quot;-&quot;"/>
    <numFmt numFmtId="170" formatCode="0.0&quot;x&quot;;\(0.0&quot;x&quot;\);&quot;-&quot;"/>
  </numFmts>
  <fonts count="13" x14ac:knownFonts="1">
    <font>
      <sz val="11"/>
      <color theme="1"/>
      <name val="Calibri"/>
      <family val="2"/>
      <scheme val="minor"/>
    </font>
    <font>
      <b/>
      <sz val="14"/>
      <color rgb="FF1F3864"/>
      <name val="Arial"/>
    </font>
    <font>
      <b/>
      <sz val="11"/>
      <name val="Arial"/>
    </font>
    <font>
      <b/>
      <sz val="11"/>
      <color rgb="FF0000FF"/>
      <name val="Arial"/>
    </font>
    <font>
      <i/>
      <sz val="9"/>
      <color rgb="FF595959"/>
      <name val="Arial"/>
    </font>
    <font>
      <b/>
      <sz val="11"/>
      <color rgb="FFFFFFFF"/>
      <name val="Arial"/>
    </font>
    <font>
      <sz val="10"/>
      <name val="Consolas"/>
    </font>
    <font>
      <sz val="11"/>
      <name val="Arial"/>
    </font>
    <font>
      <b/>
      <sz val="11"/>
      <color rgb="FFC00000"/>
      <name val="Arial"/>
    </font>
    <font>
      <sz val="11"/>
      <color rgb="FF7F6000"/>
      <name val="Arial"/>
    </font>
    <font>
      <sz val="11"/>
      <color rgb="FF808080"/>
      <name val="Arial"/>
    </font>
    <font>
      <sz val="10"/>
      <name val="Arial"/>
    </font>
    <font>
      <b/>
      <sz val="11"/>
      <color rgb="FF1F3864"/>
      <name val="Arial"/>
    </font>
  </fonts>
  <fills count="8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EDEDED"/>
      </patternFill>
    </fill>
    <fill>
      <patternFill patternType="solid">
        <fgColor rgb="FF2E549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5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/>
    <xf numFmtId="0" fontId="6" fillId="0" borderId="1" xfId="0" applyFont="1" applyBorder="1"/>
    <xf numFmtId="0" fontId="7" fillId="0" borderId="1" xfId="0" applyFont="1" applyBorder="1"/>
    <xf numFmtId="0" fontId="7" fillId="5" borderId="1" xfId="0" applyFont="1" applyFill="1" applyBorder="1"/>
    <xf numFmtId="0" fontId="4" fillId="0" borderId="1" xfId="0" applyFont="1" applyBorder="1"/>
    <xf numFmtId="0" fontId="8" fillId="0" borderId="1" xfId="0" applyFont="1" applyBorder="1"/>
    <xf numFmtId="0" fontId="0" fillId="0" borderId="1" xfId="0" applyBorder="1"/>
    <xf numFmtId="49" fontId="7" fillId="0" borderId="1" xfId="0" applyNumberFormat="1" applyFont="1" applyBorder="1"/>
    <xf numFmtId="0" fontId="9" fillId="0" borderId="1" xfId="0" applyFont="1" applyBorder="1"/>
    <xf numFmtId="0" fontId="10" fillId="0" borderId="1" xfId="0" applyFont="1" applyBorder="1"/>
    <xf numFmtId="164" fontId="7" fillId="0" borderId="1" xfId="0" applyNumberFormat="1" applyFont="1" applyBorder="1"/>
    <xf numFmtId="165" fontId="7" fillId="5" borderId="1" xfId="0" applyNumberFormat="1" applyFont="1" applyFill="1" applyBorder="1"/>
    <xf numFmtId="166" fontId="7" fillId="5" borderId="1" xfId="0" applyNumberFormat="1" applyFont="1" applyFill="1" applyBorder="1"/>
    <xf numFmtId="167" fontId="7" fillId="5" borderId="1" xfId="0" applyNumberFormat="1" applyFont="1" applyFill="1" applyBorder="1"/>
    <xf numFmtId="168" fontId="7" fillId="5" borderId="1" xfId="0" applyNumberFormat="1" applyFont="1" applyFill="1" applyBorder="1"/>
    <xf numFmtId="169" fontId="7" fillId="6" borderId="1" xfId="0" applyNumberFormat="1" applyFont="1" applyFill="1" applyBorder="1"/>
    <xf numFmtId="170" fontId="7" fillId="5" borderId="1" xfId="0" applyNumberFormat="1" applyFont="1" applyFill="1" applyBorder="1"/>
    <xf numFmtId="169" fontId="7" fillId="5" borderId="1" xfId="0" applyNumberFormat="1" applyFont="1" applyFill="1" applyBorder="1"/>
    <xf numFmtId="166" fontId="7" fillId="6" borderId="1" xfId="0" applyNumberFormat="1" applyFont="1" applyFill="1" applyBorder="1"/>
    <xf numFmtId="0" fontId="5" fillId="3" borderId="1" xfId="0" applyFont="1" applyFill="1" applyBorder="1" applyAlignment="1">
      <alignment horizontal="center" vertical="center" wrapText="1"/>
    </xf>
    <xf numFmtId="170" fontId="7" fillId="6" borderId="1" xfId="0" applyNumberFormat="1" applyFont="1" applyFill="1" applyBorder="1"/>
    <xf numFmtId="165" fontId="7" fillId="6" borderId="1" xfId="0" applyNumberFormat="1" applyFont="1" applyFill="1" applyBorder="1"/>
    <xf numFmtId="0" fontId="5" fillId="3" borderId="1" xfId="0" applyFont="1" applyFill="1" applyBorder="1"/>
    <xf numFmtId="0" fontId="0" fillId="3" borderId="1" xfId="0" applyFill="1" applyBorder="1"/>
    <xf numFmtId="165" fontId="0" fillId="6" borderId="0" xfId="0" applyNumberFormat="1" applyFill="1"/>
    <xf numFmtId="0" fontId="5" fillId="7" borderId="1" xfId="0" applyFont="1" applyFill="1" applyBorder="1"/>
    <xf numFmtId="0" fontId="2" fillId="0" borderId="1" xfId="0" applyFont="1" applyBorder="1"/>
    <xf numFmtId="165" fontId="0" fillId="6" borderId="1" xfId="0" applyNumberFormat="1" applyFill="1" applyBorder="1"/>
    <xf numFmtId="170" fontId="0" fillId="2" borderId="1" xfId="0" applyNumberFormat="1" applyFill="1" applyBorder="1"/>
    <xf numFmtId="169" fontId="0" fillId="6" borderId="1" xfId="0" applyNumberFormat="1" applyFill="1" applyBorder="1"/>
    <xf numFmtId="0" fontId="0" fillId="5" borderId="0" xfId="0" applyFill="1"/>
    <xf numFmtId="0" fontId="0" fillId="6" borderId="1" xfId="0" applyFill="1" applyBorder="1"/>
    <xf numFmtId="166" fontId="0" fillId="6" borderId="1" xfId="0" applyNumberFormat="1" applyFill="1" applyBorder="1"/>
    <xf numFmtId="170" fontId="0" fillId="6" borderId="1" xfId="0" applyNumberFormat="1" applyFill="1" applyBorder="1"/>
    <xf numFmtId="0" fontId="1" fillId="0" borderId="0" xfId="0" applyFont="1"/>
    <xf numFmtId="0" fontId="11" fillId="0" borderId="0" xfId="0" applyFont="1"/>
    <xf numFmtId="0" fontId="12" fillId="0" borderId="0" xfId="0" applyFont="1"/>
    <xf numFmtId="0" fontId="0" fillId="0" borderId="0" xfId="0" quotePrefix="1"/>
    <xf numFmtId="0" fontId="4" fillId="0" borderId="0" xfId="0" applyFont="1"/>
    <xf numFmtId="0" fontId="0" fillId="0" borderId="0" xfId="0"/>
    <xf numFmtId="0" fontId="1" fillId="0" borderId="0" xfId="0" applyFont="1" applyAlignment="1">
      <alignment horizontal="left" vertical="center"/>
    </xf>
    <xf numFmtId="0" fontId="4" fillId="0" borderId="0" xfId="0" quotePrefix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tr">
      <tp t="s">
        <v>The formula must contain at least one field or function.</v>
        <stp/>
        <stp>82</stp>
        <stp>962859562</stp>
        <tr r="C17" s="2"/>
      </tp>
      <tp>
        <v>153320000</v>
        <stp/>
        <stp>92</stp>
        <stp>962859562</stp>
        <tr r="E10" s="2"/>
      </tp>
      <tp>
        <v>1202485000</v>
        <stp/>
        <stp>62</stp>
        <stp>962859562</stp>
        <tr r="C6" s="2"/>
      </tp>
      <tp>
        <v>1497322000</v>
        <stp/>
        <stp>72</stp>
        <stp>962859562</stp>
        <tr r="D6" s="2"/>
      </tp>
      <tp t="s">
        <v>The formula must contain at least one field or function.</v>
        <stp/>
        <stp>42</stp>
        <stp>962859562</stp>
        <tr r="H20" s="2"/>
      </tp>
      <tp>
        <v>2565326000</v>
        <stp/>
        <stp>52</stp>
        <stp>962859562</stp>
        <tr r="D24" s="2"/>
      </tp>
      <tp>
        <v>-138679000</v>
        <stp/>
        <stp>22</stp>
        <stp>962859562</stp>
        <tr r="D10" s="2"/>
      </tp>
      <tp>
        <v>341990000</v>
        <stp/>
        <stp>32</stp>
        <stp>962859562</stp>
        <tr r="F10" s="2"/>
      </tp>
      <tp>
        <v>2633675000</v>
        <stp/>
        <stp>12</stp>
        <stp>962859562</stp>
        <tr r="D21" s="2"/>
      </tp>
      <tp>
        <v>2723375000</v>
        <stp/>
        <stp>83</stp>
        <stp>962859562</stp>
        <tr r="H13" s="2"/>
      </tp>
      <tp>
        <v>7177043000</v>
        <stp/>
        <stp>93</stp>
        <stp>962859562</stp>
        <tr r="G21" s="2"/>
      </tp>
      <tp t="s">
        <v>The formula must contain at least one field or function.</v>
        <stp/>
        <stp>63</stp>
        <stp>962859562</stp>
        <tr r="F19" s="2"/>
      </tp>
      <tp t="s">
        <v>The formula must contain at least one field or function.</v>
        <stp/>
        <stp>73</stp>
        <stp>962859562</stp>
        <tr r="D41" s="1"/>
      </tp>
      <tp t="s">
        <v>Consolidated Issue Listed on Nasdaq Global Select Market</v>
        <stp/>
        <stp>43</stp>
        <stp>962859562</stp>
        <tr r="D8" s="1"/>
      </tp>
      <tp t="s">
        <v>The formula must contain at least one field or function.</v>
        <stp/>
        <stp>53</stp>
        <stp>962859562</stp>
        <tr r="D28" s="1"/>
      </tp>
      <tp>
        <v>0</v>
        <stp/>
        <stp>23</stp>
        <stp>962859562</stp>
        <tr r="C22" s="2"/>
      </tp>
      <tp t="s">
        <v>The formula must contain at least one field or function.</v>
        <stp/>
        <stp>33</stp>
        <stp>962859562</stp>
        <tr r="D20" s="2"/>
      </tp>
      <tp>
        <v>2524827000</v>
        <stp/>
        <stp>13</stp>
        <stp>962859562</stp>
        <tr r="C21" s="2"/>
      </tp>
      <tp t="s">
        <v>The formula must contain at least one field or function.</v>
        <stp/>
        <stp>80</stp>
        <stp>962859562</stp>
        <tr r="D17" s="2"/>
      </tp>
      <tp t="s">
        <v>The formula must contain at least one field or function.</v>
        <stp/>
        <stp>90</stp>
        <stp>962859562</stp>
        <tr r="E20" s="2"/>
      </tp>
      <tp>
        <v>2397311977</v>
        <stp/>
        <stp>60</stp>
        <stp>962859562</stp>
        <tr r="D17" s="1"/>
      </tp>
      <tp>
        <v>5229987000</v>
        <stp/>
        <stp>70</stp>
        <stp>962859562</stp>
        <tr r="F21" s="2"/>
      </tp>
      <tp>
        <v>310403000</v>
        <stp/>
        <stp>40</stp>
        <stp>962859562</stp>
        <tr r="F8" s="2"/>
      </tp>
      <tp t="s">
        <v>The formula must contain at least one field or function.</v>
        <stp/>
        <stp>50</stp>
        <stp>962859562</stp>
        <tr r="D19" s="1"/>
      </tp>
      <tp>
        <v>0</v>
        <stp/>
        <stp>20</stp>
        <stp>962859562</stp>
        <tr r="D38" s="1"/>
      </tp>
      <tp>
        <v>142.85231420974401</v>
        <stp/>
        <stp>30</stp>
        <stp>962859562</stp>
        <tr r="D23" s="1"/>
      </tp>
      <tp t="s">
        <v>The formula must contain at least one field or function.</v>
        <stp/>
        <stp>10</stp>
        <stp>962859562</stp>
        <tr r="F11" s="2"/>
      </tp>
      <tp>
        <v>1991965000</v>
        <stp/>
        <stp>81</stp>
        <stp>962859562</stp>
        <tr r="H8" s="2"/>
      </tp>
      <tp>
        <v>207.52</v>
        <stp/>
        <stp>91</stp>
        <stp>962859562</stp>
        <tr r="D20" s="1"/>
      </tp>
      <tp>
        <v>1414015000</v>
        <stp/>
        <stp>61</stp>
        <stp>962859562</stp>
        <tr r="G8" s="2"/>
      </tp>
      <tp t="s">
        <v>The formula must contain at least one field or function.</v>
        <stp/>
        <stp>71</stp>
        <stp>962859562</stp>
        <tr r="G26" s="2"/>
      </tp>
      <tp>
        <v>106.37</v>
        <stp/>
        <stp>41</stp>
        <stp>962859562</stp>
        <tr r="D21" s="1"/>
      </tp>
      <tp>
        <v>7177043000</v>
        <stp/>
        <stp>51</stp>
        <stp>962859562</stp>
        <tr r="D37" s="1"/>
      </tp>
      <tp t="s">
        <v>The formula must contain at least one field or function.</v>
        <stp/>
        <stp>21</stp>
        <stp>962859562</stp>
        <tr r="F17" s="2"/>
      </tp>
      <tp t="s">
        <v>The formula must contain at least one field or function.</v>
        <stp/>
        <stp>31</stp>
        <stp>962859562</stp>
        <tr r="F20" s="2"/>
      </tp>
      <tp>
        <v>2018253000</v>
        <stp/>
        <stp>11</stp>
        <stp>962859562</stp>
        <tr r="H10" s="2"/>
      </tp>
      <tp t="s">
        <v>The formula must contain at least one field or function.</v>
        <stp/>
        <stp>86</stp>
        <stp>962859562</stp>
        <tr r="D47" s="1"/>
      </tp>
      <tp t="s">
        <v>The formula must contain at least one field or function.</v>
        <stp/>
        <stp>96</stp>
        <stp>962859562</stp>
        <tr r="F26" s="2"/>
      </tp>
      <tp t="s">
        <v>The formula must contain at least one field or function.</v>
        <stp/>
        <stp>66</stp>
        <stp>962859562</stp>
        <tr r="D12" s="1"/>
      </tp>
      <tp>
        <v>3674179000</v>
        <stp/>
        <stp>76</stp>
        <stp>962859562</stp>
        <tr r="E21" s="2"/>
      </tp>
      <tp t="s">
        <v>The formula must contain at least one field or function.</v>
        <stp/>
        <stp>46</stp>
        <stp>962859562</stp>
        <tr r="G17" s="2"/>
      </tp>
      <tp>
        <v>7089072250</v>
        <stp/>
        <stp>56</stp>
        <stp>962859562</stp>
        <tr r="H24" s="2"/>
      </tp>
      <tp>
        <v>7.10982</v>
        <stp/>
        <stp>26</stp>
        <stp>962859562</stp>
        <tr r="D42" s="1"/>
      </tp>
      <tp t="s">
        <v>The formula must contain at least one field or function.</v>
        <stp/>
        <stp>36</stp>
        <stp>962859562</stp>
        <tr r="G11" s="2"/>
      </tp>
      <tp>
        <v>3686269000</v>
        <stp/>
        <stp>16</stp>
        <stp>962859562</stp>
        <tr r="G6" s="2"/>
      </tp>
      <tp>
        <v>-15114000</v>
        <stp/>
        <stp>87</stp>
        <stp>962859562</stp>
        <tr r="E14" s="2"/>
      </tp>
      <tp>
        <v>0</v>
        <stp/>
        <stp>97</stp>
        <stp>962859562</stp>
        <tr r="H22" s="2"/>
      </tp>
      <tp>
        <v>0</v>
        <stp/>
        <stp>67</stp>
        <stp>962859562</stp>
        <tr r="D22" s="2"/>
      </tp>
      <tp t="s">
        <v>The formula must contain at least one field or function.</v>
        <stp/>
        <stp>77</stp>
        <stp>962859562</stp>
        <tr r="G20" s="2"/>
      </tp>
      <tp>
        <v>3461239000</v>
        <stp/>
        <stp>47</stp>
        <stp>962859562</stp>
        <tr r="D25" s="2"/>
      </tp>
      <tp t="s">
        <v>The formula must contain at least one field or function.</v>
        <stp/>
        <stp>57</stp>
        <stp>962859562</stp>
        <tr r="D49" s="1"/>
      </tp>
      <tp>
        <v>-40027000</v>
        <stp/>
        <stp>27</stp>
        <stp>962859562</stp>
        <tr r="D14" s="2"/>
      </tp>
      <tp t="s">
        <v>NULL</v>
        <stp/>
        <stp>37</stp>
        <stp>962859562</stp>
        <tr r="D45" s="1"/>
      </tp>
      <tp t="s">
        <v>The formula must contain at least one field or function.</v>
        <stp/>
        <stp>17</stp>
        <stp>962859562</stp>
        <tr r="H19" s="2"/>
      </tp>
      <tp>
        <v>1793907000</v>
        <stp/>
        <stp>84</stp>
        <stp>962859562</stp>
        <tr r="E6" s="2"/>
      </tp>
      <tp>
        <v>-12634000</v>
        <stp/>
        <stp>94</stp>
        <stp>962859562</stp>
        <tr r="F14" s="2"/>
      </tp>
      <tp>
        <v>-35099000</v>
        <stp/>
        <stp>64</stp>
        <stp>962859562</stp>
        <tr r="H14" s="2"/>
      </tp>
      <tp>
        <v>4522425000</v>
        <stp/>
        <stp>74</stp>
        <stp>962859562</stp>
        <tr r="E25" s="2"/>
      </tp>
      <tp>
        <v>2134473000</v>
        <stp/>
        <stp>44</stp>
        <stp>962859562</stp>
        <tr r="G13" s="2"/>
      </tp>
      <tp t="s">
        <v>United States of America</v>
        <stp/>
        <stp>54</stp>
        <stp>962859562</stp>
        <tr r="D11" s="1"/>
      </tp>
      <tp t="s">
        <v>The formula must contain at least one field or function.</v>
        <stp/>
        <stp>24</stp>
        <stp>962859562</stp>
        <tr r="E11" s="2"/>
      </tp>
      <tp t="s">
        <v>Palantir Technologies Inc</v>
        <stp/>
        <stp>34</stp>
        <stp>962859562</stp>
        <tr r="D6" s="1"/>
      </tp>
      <tp t="s">
        <v>NULL</v>
        <stp/>
        <stp>14</stp>
        <stp>962859562</stp>
        <tr r="D40" s="1"/>
      </tp>
      <tp t="s">
        <v>The formula must contain at least one field or function.</v>
        <stp/>
        <stp>85</stp>
        <stp>962859562</stp>
        <tr r="D26" s="2"/>
      </tp>
      <tp>
        <v>6340884000</v>
        <stp/>
        <stp>95</stp>
        <stp>962859562</stp>
        <tr r="F25" s="2"/>
      </tp>
      <tp t="s">
        <v>The formula must contain at least one field or function.</v>
        <stp/>
        <stp>65</stp>
        <stp>962859562</stp>
        <tr r="H11" s="2"/>
      </tp>
      <tp>
        <v>223737000</v>
        <stp/>
        <stp>75</stp>
        <stp>962859562</stp>
        <tr r="D13" s="2"/>
      </tp>
      <tp>
        <v>58.182439092539802</v>
        <stp/>
        <stp>45</stp>
        <stp>962859562</stp>
        <tr r="D25" s="1"/>
      </tp>
      <tp>
        <v>-411046000</v>
        <stp/>
        <stp>55</stp>
        <stp>962859562</stp>
        <tr r="C8" s="2"/>
      </tp>
      <tp>
        <v>2291030000</v>
        <stp/>
        <stp>25</stp>
        <stp>962859562</stp>
        <tr r="C24" s="2"/>
      </tp>
      <tp>
        <v>333851000</v>
        <stp/>
        <stp>35</stp>
        <stp>962859562</stp>
        <tr r="C13" s="2"/>
      </tp>
      <tp>
        <v>-12627000</v>
        <stp/>
        <stp>15</stp>
        <stp>962859562</stp>
        <tr r="C14" s="2"/>
      </tp>
      <tp>
        <v>146.67902912262801</v>
        <stp/>
        <stp>88</stp>
        <stp>962859562</stp>
        <tr r="D26" s="1"/>
      </tp>
      <tp t="s">
        <v>The formula must contain at least one field or function.</v>
        <stp/>
        <stp>98</stp>
        <stp>962859562</stp>
        <tr r="D48" s="1"/>
      </tp>
      <tp>
        <v>7387268000</v>
        <stp/>
        <stp>68</stp>
        <stp>962859562</stp>
        <tr r="G24" s="2"/>
      </tp>
      <tp>
        <v>1905871000</v>
        <stp/>
        <stp>78</stp>
        <stp>962859562</stp>
        <tr r="D5" s="2"/>
      </tp>
      <tp>
        <v>-396149000</v>
        <stp/>
        <stp>48</stp>
        <stp>962859562</stp>
        <tr r="C10" s="2"/>
      </tp>
      <tp>
        <v>4392169000</v>
        <stp/>
        <stp>58</stp>
        <stp>962859562</stp>
        <tr r="H6" s="2"/>
      </tp>
      <tp>
        <v>-161201000</v>
        <stp/>
        <stp>28</stp>
        <stp>962859562</stp>
        <tr r="D8" s="2"/>
      </tp>
      <tp>
        <v>3247450000</v>
        <stp/>
        <stp>38</stp>
        <stp>962859562</stp>
        <tr r="C25" s="2"/>
      </tp>
      <tp>
        <v>1153865000</v>
        <stp/>
        <stp>18</stp>
        <stp>962859562</stp>
        <tr r="F13" s="2"/>
      </tp>
      <tp>
        <v>8900392000</v>
        <stp/>
        <stp>89</stp>
        <stp>962859562</stp>
        <tr r="G25" s="2"/>
      </tp>
      <tp>
        <v>1.3401901299776999</v>
        <stp/>
        <stp>99</stp>
        <stp>962859562</stp>
        <tr r="D31" s="1"/>
      </tp>
      <tp t="s">
        <v>The formula must contain at least one field or function.</v>
        <stp/>
        <stp>69</stp>
        <stp>962859562</stp>
        <tr r="D46" s="1"/>
      </tp>
      <tp t="s">
        <v>The formula must contain at least one field or function.</v>
        <stp/>
        <stp>79</stp>
        <stp>962859562</stp>
        <tr r="E17" s="2"/>
      </tp>
      <tp>
        <v>34579223000</v>
        <stp/>
        <stp>49</stp>
        <stp>962859562</stp>
        <tr r="H25" s="2"/>
      </tp>
      <tp>
        <v>35.969776909320601</v>
        <stp/>
        <stp>59</stp>
        <stp>962859562</stp>
        <tr r="D29" s="1"/>
      </tp>
      <tp>
        <v>56.666449196338199</v>
        <stp/>
        <stp>29</stp>
        <stp>962859562</stp>
        <tr r="D27" s="1"/>
      </tp>
      <tp t="s">
        <v>The formula must contain at least one field or function.</v>
        <stp/>
        <stp>39</stp>
        <stp>962859562</stp>
        <tr r="C11" s="2"/>
      </tp>
      <tp>
        <v>712183000</v>
        <stp/>
        <stp>19</stp>
        <stp>962859562</stp>
        <tr r="E13" s="2"/>
      </tp>
      <tp>
        <v>3475561000</v>
        <stp/>
        <stp>128</stp>
        <stp>962859562</stp>
        <tr r="E24" s="2"/>
      </tp>
      <tp t="s">
        <v>The formula must contain at least one field or function.</v>
        <stp/>
        <stp>108</stp>
        <stp>962859562</stp>
        <tr r="D30" s="1"/>
      </tp>
      <tp t="s">
        <v>Information Technology</v>
        <stp/>
        <stp>118</stp>
        <stp>962859562</stp>
        <tr r="D9" s="1"/>
      </tp>
      <tp t="s">
        <v>The formula must contain at least one field or function.</v>
        <stp/>
        <stp>129</stp>
        <stp>962859562</stp>
        <tr r="H26" s="2"/>
      </tp>
      <tp>
        <v>5224174000</v>
        <stp/>
        <stp>109</stp>
        <stp>962859562</stp>
        <tr r="H5" s="2"/>
      </tp>
      <tp t="s">
        <v>The formula must contain at least one field or function.</v>
        <stp/>
        <stp>119</stp>
        <stp>962859562</stp>
        <tr r="D33" s="1"/>
      </tp>
      <tp>
        <v>71.604058757913506</v>
        <stp/>
        <stp>120</stp>
        <stp>962859562</stp>
        <tr r="D24" s="1"/>
      </tp>
      <tp>
        <v>1541889000</v>
        <stp/>
        <stp>130</stp>
        <stp>962859562</stp>
        <tr r="C5" s="2"/>
      </tp>
      <tp>
        <v>1440160000</v>
        <stp/>
        <stp>100</stp>
        <stp>962859562</stp>
        <tr r="G10" s="2"/>
      </tp>
      <tp t="s">
        <v>The formula must contain at least one field or function.</v>
        <stp/>
        <stp>110</stp>
        <stp>962859562</stp>
        <tr r="C26" s="2"/>
      </tp>
      <tp>
        <v>2225012000</v>
        <stp/>
        <stp>121</stp>
        <stp>962859562</stp>
        <tr r="E5" s="2"/>
      </tp>
      <tp>
        <v>44940573</v>
        <stp/>
        <stp>131</stp>
        <stp>962859562</stp>
        <tr r="D18" s="1"/>
      </tp>
      <tp>
        <v>7.10982</v>
        <stp/>
        <stp>101</stp>
        <stp>962859562</stp>
        <tr r="D43" s="1"/>
      </tp>
      <tp t="s">
        <v>The formula must contain at least one field or function.</v>
        <stp/>
        <stp>111</stp>
        <stp>962859562</stp>
        <tr r="D11" s="2"/>
      </tp>
      <tp>
        <v>2299517000</v>
        <stp/>
        <stp>122</stp>
        <stp>962859562</stp>
        <tr r="F6" s="2"/>
      </tp>
      <tp t="s">
        <v>The formula must contain at least one field or function.</v>
        <stp/>
        <stp>132</stp>
        <stp>962859562</stp>
        <tr r="H17" s="2"/>
      </tp>
      <tp t="s">
        <v>Software</v>
        <stp/>
        <stp>102</stp>
        <stp>962859562</stp>
        <tr r="D10" s="1"/>
      </tp>
      <tp>
        <v>-33882000</v>
        <stp/>
        <stp>112</stp>
        <stp>962859562</stp>
        <tr r="G14" s="2"/>
      </tp>
    </main>
    <main first="refinitivshim.rtdserver.rdp.data">
      <tp>
        <v>2323236000</v>
        <stp/>
        <stp>7</stp>
        <stp>962859578</stp>
        <tr r="C33" s="2"/>
      </tp>
    </main>
    <main first="refinitivshim.rtdserver.tr">
      <tp>
        <v>303955185563.83002</v>
        <stp/>
        <stp>123</stp>
        <stp>962859562</stp>
        <tr r="D15" s="1"/>
      </tp>
      <tp>
        <v>0</v>
        <stp/>
        <stp>133</stp>
        <stp>962859562</stp>
        <tr r="E22" s="2"/>
      </tp>
      <tp t="s">
        <v>The formula must contain at least one field or function.</v>
        <stp/>
        <stp>103</stp>
        <stp>962859562</stp>
        <tr r="D35" s="1"/>
      </tp>
      <tp>
        <v>119966000</v>
        <stp/>
        <stp>113</stp>
        <stp>962859562</stp>
        <tr r="E8" s="2"/>
      </tp>
      <tp>
        <v>0</v>
        <stp/>
        <stp>124</stp>
        <stp>962859562</stp>
        <tr r="F22" s="2"/>
      </tp>
      <tp t="s">
        <v>The formula must contain at least one field or function.</v>
        <stp/>
        <stp>134</stp>
        <stp>962859562</stp>
        <tr r="C19" s="2"/>
      </tp>
      <tp>
        <v>0</v>
        <stp/>
        <stp>104</stp>
        <stp>962859562</stp>
        <tr r="G22" s="2"/>
      </tp>
      <tp>
        <v>2865507000</v>
        <stp/>
        <stp>114</stp>
        <stp>962859562</stp>
        <tr r="F5" s="2"/>
      </tp>
      <tp t="s">
        <v>The formula must contain at least one field or function.</v>
        <stp/>
        <stp>125</stp>
        <stp>962859562</stp>
        <tr r="G19" s="2"/>
      </tp>
      <tp>
        <v>4475446000</v>
        <stp/>
        <stp>135</stp>
        <stp>962859562</stp>
        <tr r="G5" s="2"/>
      </tp>
      <tp>
        <v>5003275000</v>
        <stp/>
        <stp>105</stp>
        <stp>962859562</stp>
        <tr r="F24" s="2"/>
      </tp>
      <tp t="s">
        <v>The formula must contain at least one field or function.</v>
        <stp/>
        <stp>115</stp>
        <stp>962859562</stp>
        <tr r="E19" s="2"/>
      </tp>
      <tp t="s">
        <v>The formula must contain at least one field or function.</v>
        <stp/>
        <stp>126</stp>
        <stp>962859562</stp>
        <tr r="D19" s="2"/>
      </tp>
      <tp t="s">
        <v>The formula must contain at least one field or function.</v>
        <stp/>
        <stp>106</stp>
        <stp>962859562</stp>
        <tr r="E26" s="2"/>
      </tp>
      <tp>
        <v>126.79</v>
        <stp/>
        <stp>116</stp>
        <stp>962859562</stp>
        <tr r="D14" s="1"/>
      </tp>
      <tp t="s">
        <v>NULL</v>
        <stp/>
        <stp>127</stp>
        <stp>962859562</stp>
        <tr r="D34" s="1"/>
      </tp>
      <tp>
        <v>296035390563.83099</v>
        <stp/>
        <stp>107</stp>
        <stp>962859562</stp>
        <tr r="D16" s="1"/>
      </tp>
      <tp t="s">
        <v>The formula must contain at least one field or function.</v>
        <stp/>
        <stp>117</stp>
        <stp>962859562</stp>
        <tr r="C20" s="2"/>
      </tp>
    </main>
    <main first="refinitivshim.rtdserver.tr">
      <tp t="s">
        <v>Snowflake Inc</v>
        <stp/>
        <stp>6</stp>
        <stp>962859562</stp>
        <tr r="A5" s="4"/>
      </tp>
      <tp>
        <v>2297927000</v>
        <stp/>
        <stp>4</stp>
        <stp>962859562</stp>
        <tr r="E33" s="2"/>
      </tp>
      <tp>
        <v>2223522000</v>
        <stp/>
        <stp>5</stp>
        <stp>962859562</stp>
        <tr r="D33" s="2"/>
      </tp>
      <tp>
        <v>2565197000</v>
        <stp/>
        <stp>2</stp>
        <stp>962859562</stp>
        <tr r="G33" s="2"/>
      </tp>
      <tp>
        <v>2450818000</v>
        <stp/>
        <stp>3</stp>
        <stp>962859562</stp>
        <tr r="F33" s="2"/>
      </tp>
      <tp>
        <v>2569597500</v>
        <stp/>
        <stp>1</stp>
        <stp>962859562</stp>
        <tr r="H33" s="2"/>
      </tp>
      <tp t="s">
        <v>The formula must contain at least one field or function.</v>
        <stp/>
        <stp>8</stp>
        <stp>962859562</stp>
        <tr r="D44" s="1"/>
      </tp>
      <tp>
        <v>6910423750</v>
        <stp/>
        <stp>9</stp>
        <stp>962859562</stp>
        <tr r="H21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workbookViewId="0">
      <pane ySplit="5" topLeftCell="A36" activePane="bottomLeft" state="frozen"/>
      <selection pane="bottomLeft" activeCell="D28" sqref="D28"/>
    </sheetView>
  </sheetViews>
  <sheetFormatPr defaultRowHeight="15" x14ac:dyDescent="0.25"/>
  <cols>
    <col min="1" max="1" width="15" customWidth="1"/>
    <col min="2" max="2" width="20" customWidth="1"/>
    <col min="3" max="3" width="26" customWidth="1"/>
    <col min="4" max="4" width="52.5703125" bestFit="1" customWidth="1"/>
    <col min="5" max="5" width="26" customWidth="1"/>
    <col min="6" max="6" width="12" customWidth="1"/>
  </cols>
  <sheetData>
    <row r="1" spans="1:6" ht="24" customHeight="1" x14ac:dyDescent="0.25">
      <c r="A1" s="44" t="s">
        <v>0</v>
      </c>
      <c r="B1" s="43"/>
      <c r="C1" s="43"/>
      <c r="D1" s="43"/>
      <c r="E1" s="43"/>
      <c r="F1" s="43"/>
    </row>
    <row r="2" spans="1:6" x14ac:dyDescent="0.25">
      <c r="A2" s="1" t="s">
        <v>1</v>
      </c>
      <c r="B2" s="2" t="s">
        <v>291</v>
      </c>
    </row>
    <row r="3" spans="1:6" x14ac:dyDescent="0.25">
      <c r="A3" s="42" t="s">
        <v>2</v>
      </c>
      <c r="B3" s="43"/>
      <c r="C3" s="43"/>
      <c r="D3" s="43"/>
      <c r="E3" s="43"/>
      <c r="F3" s="43"/>
    </row>
    <row r="5" spans="1:6" ht="26.1" customHeight="1" x14ac:dyDescent="0.25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</row>
    <row r="6" spans="1:6" x14ac:dyDescent="0.25">
      <c r="A6" s="4" t="s">
        <v>9</v>
      </c>
      <c r="B6" s="5" t="s">
        <v>10</v>
      </c>
      <c r="C6" s="6" t="s">
        <v>11</v>
      </c>
      <c r="D6" s="7" t="str">
        <f>_xll.TR($B$2,"TR.CommonName")</f>
        <v>Palantir Technologies Inc</v>
      </c>
      <c r="E6" s="8" t="s">
        <v>12</v>
      </c>
      <c r="F6" s="9" t="s">
        <v>13</v>
      </c>
    </row>
    <row r="7" spans="1:6" x14ac:dyDescent="0.25">
      <c r="A7" s="10"/>
      <c r="B7" s="5" t="s">
        <v>14</v>
      </c>
      <c r="C7" s="6" t="s">
        <v>15</v>
      </c>
      <c r="D7" s="11" t="str">
        <f>$B$2</f>
        <v>PLTR.O</v>
      </c>
      <c r="E7" s="8"/>
      <c r="F7" s="9" t="s">
        <v>13</v>
      </c>
    </row>
    <row r="8" spans="1:6" x14ac:dyDescent="0.25">
      <c r="A8" s="10"/>
      <c r="B8" s="5" t="s">
        <v>16</v>
      </c>
      <c r="C8" s="6" t="s">
        <v>17</v>
      </c>
      <c r="D8" s="7" t="str">
        <f>_xll.TR($B$2,"TR.ExchangeName")</f>
        <v>Consolidated Issue Listed on Nasdaq Global Select Market</v>
      </c>
      <c r="E8" s="8" t="s">
        <v>18</v>
      </c>
      <c r="F8" s="12" t="s">
        <v>19</v>
      </c>
    </row>
    <row r="9" spans="1:6" x14ac:dyDescent="0.25">
      <c r="A9" s="10"/>
      <c r="B9" s="5" t="s">
        <v>20</v>
      </c>
      <c r="C9" s="6" t="s">
        <v>21</v>
      </c>
      <c r="D9" s="7" t="str">
        <f>_xll.TR($B$2,"TR.GICSSector")</f>
        <v>Information Technology</v>
      </c>
      <c r="E9" s="8" t="s">
        <v>22</v>
      </c>
      <c r="F9" s="12" t="s">
        <v>19</v>
      </c>
    </row>
    <row r="10" spans="1:6" x14ac:dyDescent="0.25">
      <c r="A10" s="10"/>
      <c r="B10" s="5" t="s">
        <v>23</v>
      </c>
      <c r="C10" s="6" t="s">
        <v>24</v>
      </c>
      <c r="D10" s="7" t="str">
        <f>_xll.TR($B$2,"TR.GICSIndustry")</f>
        <v>Software</v>
      </c>
      <c r="E10" s="8" t="s">
        <v>25</v>
      </c>
      <c r="F10" s="13" t="s">
        <v>26</v>
      </c>
    </row>
    <row r="11" spans="1:6" x14ac:dyDescent="0.25">
      <c r="A11" s="10"/>
      <c r="B11" s="5" t="s">
        <v>27</v>
      </c>
      <c r="C11" s="6" t="s">
        <v>28</v>
      </c>
      <c r="D11" s="7" t="str">
        <f>_xll.TR($B$2,"TR.HeadquartersCountry")</f>
        <v>United States of America</v>
      </c>
      <c r="E11" s="8" t="s">
        <v>29</v>
      </c>
      <c r="F11" s="13" t="s">
        <v>26</v>
      </c>
    </row>
    <row r="12" spans="1:6" x14ac:dyDescent="0.25">
      <c r="A12" s="10"/>
      <c r="B12" s="5" t="s">
        <v>30</v>
      </c>
      <c r="C12" s="6" t="s">
        <v>31</v>
      </c>
      <c r="D12" s="7" t="str">
        <f>_xll.TR($B$2,"TR.FinancialCurrency")</f>
        <v>The formula must contain at least one field or function.</v>
      </c>
      <c r="E12" s="8" t="s">
        <v>32</v>
      </c>
      <c r="F12" s="12" t="s">
        <v>19</v>
      </c>
    </row>
    <row r="13" spans="1:6" x14ac:dyDescent="0.25">
      <c r="A13" s="10"/>
      <c r="B13" s="5" t="s">
        <v>33</v>
      </c>
      <c r="C13" s="6" t="s">
        <v>34</v>
      </c>
      <c r="D13" s="14">
        <f ca="1">TODAY()</f>
        <v>46216</v>
      </c>
      <c r="E13" s="8"/>
      <c r="F13" s="9" t="s">
        <v>13</v>
      </c>
    </row>
    <row r="14" spans="1:6" x14ac:dyDescent="0.25">
      <c r="A14" s="4" t="s">
        <v>35</v>
      </c>
      <c r="B14" s="5" t="s">
        <v>36</v>
      </c>
      <c r="C14" s="6" t="s">
        <v>37</v>
      </c>
      <c r="D14" s="15">
        <f>_xll.TR($B$2,"TR.PriceClose")</f>
        <v>126.79</v>
      </c>
      <c r="E14" s="8" t="s">
        <v>38</v>
      </c>
      <c r="F14" s="9" t="s">
        <v>13</v>
      </c>
    </row>
    <row r="15" spans="1:6" x14ac:dyDescent="0.25">
      <c r="A15" s="10"/>
      <c r="B15" s="5" t="s">
        <v>39</v>
      </c>
      <c r="C15" s="6" t="s">
        <v>40</v>
      </c>
      <c r="D15" s="16">
        <f>_xll.TR($B$2,"TR.CompanyMarketCap")</f>
        <v>303955185563.83002</v>
      </c>
      <c r="E15" s="8" t="s">
        <v>41</v>
      </c>
      <c r="F15" s="9" t="s">
        <v>13</v>
      </c>
    </row>
    <row r="16" spans="1:6" x14ac:dyDescent="0.25">
      <c r="A16" s="10"/>
      <c r="B16" s="5" t="s">
        <v>42</v>
      </c>
      <c r="C16" s="6" t="s">
        <v>43</v>
      </c>
      <c r="D16" s="16">
        <f>_xll.TR($B$2,"TR.EV")</f>
        <v>296035390563.83099</v>
      </c>
      <c r="E16" s="8" t="s">
        <v>44</v>
      </c>
      <c r="F16" s="12" t="s">
        <v>19</v>
      </c>
    </row>
    <row r="17" spans="1:6" x14ac:dyDescent="0.25">
      <c r="A17" s="10"/>
      <c r="B17" s="5" t="s">
        <v>45</v>
      </c>
      <c r="C17" s="6" t="s">
        <v>46</v>
      </c>
      <c r="D17" s="17">
        <f>_xll.TR($B$2,"TR.SharesOutstanding")</f>
        <v>2397311977</v>
      </c>
      <c r="E17" s="8" t="s">
        <v>47</v>
      </c>
      <c r="F17" s="9" t="s">
        <v>13</v>
      </c>
    </row>
    <row r="18" spans="1:6" x14ac:dyDescent="0.25">
      <c r="A18" s="10"/>
      <c r="B18" s="5" t="s">
        <v>48</v>
      </c>
      <c r="C18" s="6" t="s">
        <v>49</v>
      </c>
      <c r="D18" s="17">
        <f>_xll.TR($B$2,"TR.AvgDailyVolume3M")</f>
        <v>44940573</v>
      </c>
      <c r="E18" s="8" t="s">
        <v>50</v>
      </c>
      <c r="F18" s="13" t="s">
        <v>26</v>
      </c>
    </row>
    <row r="19" spans="1:6" x14ac:dyDescent="0.25">
      <c r="A19" s="10"/>
      <c r="B19" s="5" t="s">
        <v>51</v>
      </c>
      <c r="C19" s="6" t="s">
        <v>52</v>
      </c>
      <c r="D19" s="18" t="str">
        <f>_xll.TR($B$2,"TR.Beta")</f>
        <v>The formula must contain at least one field or function.</v>
      </c>
      <c r="E19" s="8" t="s">
        <v>53</v>
      </c>
      <c r="F19" s="13" t="s">
        <v>26</v>
      </c>
    </row>
    <row r="20" spans="1:6" x14ac:dyDescent="0.25">
      <c r="A20" s="10"/>
      <c r="B20" s="5" t="s">
        <v>54</v>
      </c>
      <c r="C20" s="6" t="s">
        <v>55</v>
      </c>
      <c r="D20" s="15">
        <f>_xll.TR($B$2,"TR.Price52WeekHigh")</f>
        <v>207.52</v>
      </c>
      <c r="E20" s="8" t="s">
        <v>56</v>
      </c>
      <c r="F20" s="12" t="s">
        <v>19</v>
      </c>
    </row>
    <row r="21" spans="1:6" x14ac:dyDescent="0.25">
      <c r="A21" s="10"/>
      <c r="B21" s="5" t="s">
        <v>57</v>
      </c>
      <c r="C21" s="6" t="s">
        <v>58</v>
      </c>
      <c r="D21" s="15">
        <f>_xll.TR($B$2,"TR.Price52WeekLow")</f>
        <v>106.37</v>
      </c>
      <c r="E21" s="8" t="s">
        <v>59</v>
      </c>
      <c r="F21" s="12" t="s">
        <v>19</v>
      </c>
    </row>
    <row r="22" spans="1:6" x14ac:dyDescent="0.25">
      <c r="A22" s="10"/>
      <c r="B22" s="5" t="s">
        <v>60</v>
      </c>
      <c r="C22" s="6" t="s">
        <v>61</v>
      </c>
      <c r="D22" s="19">
        <f>IFERROR((D14/D20-1)*100,"")</f>
        <v>-38.902274479568234</v>
      </c>
      <c r="E22" s="8" t="s">
        <v>62</v>
      </c>
      <c r="F22" s="12" t="s">
        <v>19</v>
      </c>
    </row>
    <row r="23" spans="1:6" x14ac:dyDescent="0.25">
      <c r="A23" s="4" t="s">
        <v>63</v>
      </c>
      <c r="B23" s="5" t="s">
        <v>64</v>
      </c>
      <c r="C23" s="6" t="s">
        <v>65</v>
      </c>
      <c r="D23" s="20">
        <f>_xll.TR($B$2,"TR.PE")</f>
        <v>142.85231420974401</v>
      </c>
      <c r="E23" s="8" t="s">
        <v>66</v>
      </c>
      <c r="F23" s="9" t="s">
        <v>13</v>
      </c>
    </row>
    <row r="24" spans="1:6" x14ac:dyDescent="0.25">
      <c r="A24" s="10"/>
      <c r="B24" s="5" t="s">
        <v>67</v>
      </c>
      <c r="C24" s="6" t="s">
        <v>68</v>
      </c>
      <c r="D24" s="20">
        <f>_xll.TR($B$2,"TR.FwdPE")</f>
        <v>71.604058757913506</v>
      </c>
      <c r="E24" s="8" t="s">
        <v>69</v>
      </c>
      <c r="F24" s="12" t="s">
        <v>19</v>
      </c>
    </row>
    <row r="25" spans="1:6" x14ac:dyDescent="0.25">
      <c r="A25" s="10"/>
      <c r="B25" s="5" t="s">
        <v>70</v>
      </c>
      <c r="C25" s="6" t="s">
        <v>71</v>
      </c>
      <c r="D25" s="20">
        <f>_xll.TR($B$2,"TR.PriceToSalesPerShare")</f>
        <v>58.182439092539802</v>
      </c>
      <c r="E25" s="8" t="s">
        <v>72</v>
      </c>
      <c r="F25" s="9" t="s">
        <v>13</v>
      </c>
    </row>
    <row r="26" spans="1:6" x14ac:dyDescent="0.25">
      <c r="A26" s="10"/>
      <c r="B26" s="5" t="s">
        <v>73</v>
      </c>
      <c r="C26" s="6" t="s">
        <v>74</v>
      </c>
      <c r="D26" s="20">
        <f>_xll.TR($B$2,"TR.EVToEBITDA")</f>
        <v>146.67902912262801</v>
      </c>
      <c r="E26" s="8" t="s">
        <v>75</v>
      </c>
      <c r="F26" s="9" t="s">
        <v>13</v>
      </c>
    </row>
    <row r="27" spans="1:6" x14ac:dyDescent="0.25">
      <c r="A27" s="10"/>
      <c r="B27" s="5" t="s">
        <v>76</v>
      </c>
      <c r="C27" s="6" t="s">
        <v>77</v>
      </c>
      <c r="D27" s="20">
        <f>_xll.TR($B$2,"TR.EVToSales")</f>
        <v>56.666449196338199</v>
      </c>
      <c r="E27" s="8" t="s">
        <v>78</v>
      </c>
      <c r="F27" s="12" t="s">
        <v>19</v>
      </c>
    </row>
    <row r="28" spans="1:6" x14ac:dyDescent="0.25">
      <c r="A28" s="10"/>
      <c r="B28" s="5" t="s">
        <v>79</v>
      </c>
      <c r="C28" s="6" t="s">
        <v>80</v>
      </c>
      <c r="D28" s="20" t="str">
        <f>_xll.TR($B$2,"TR.EVToFCF")</f>
        <v>The formula must contain at least one field or function.</v>
      </c>
      <c r="E28" s="8" t="s">
        <v>81</v>
      </c>
      <c r="F28" s="12" t="s">
        <v>19</v>
      </c>
    </row>
    <row r="29" spans="1:6" x14ac:dyDescent="0.25">
      <c r="A29" s="10"/>
      <c r="B29" s="5" t="s">
        <v>82</v>
      </c>
      <c r="C29" s="6" t="s">
        <v>83</v>
      </c>
      <c r="D29" s="20">
        <f>_xll.TR($B$2,"TR.PriceToBVPerShare")</f>
        <v>35.969776909320601</v>
      </c>
      <c r="E29" s="8" t="s">
        <v>84</v>
      </c>
      <c r="F29" s="12" t="s">
        <v>19</v>
      </c>
    </row>
    <row r="30" spans="1:6" x14ac:dyDescent="0.25">
      <c r="A30" s="10"/>
      <c r="B30" s="5" t="s">
        <v>85</v>
      </c>
      <c r="C30" s="6" t="s">
        <v>86</v>
      </c>
      <c r="D30" s="20" t="str">
        <f>_xll.TR($B$2,"TR.PriceToFCFPerShare")</f>
        <v>The formula must contain at least one field or function.</v>
      </c>
      <c r="E30" s="8" t="s">
        <v>87</v>
      </c>
      <c r="F30" s="12" t="s">
        <v>19</v>
      </c>
    </row>
    <row r="31" spans="1:6" x14ac:dyDescent="0.25">
      <c r="A31" s="10"/>
      <c r="B31" s="5" t="s">
        <v>88</v>
      </c>
      <c r="C31" s="6" t="s">
        <v>89</v>
      </c>
      <c r="D31" s="18">
        <f>_xll.TR($B$2,"TR.PEG")</f>
        <v>1.3401901299776999</v>
      </c>
      <c r="E31" s="8" t="s">
        <v>90</v>
      </c>
      <c r="F31" s="13" t="s">
        <v>26</v>
      </c>
    </row>
    <row r="32" spans="1:6" x14ac:dyDescent="0.25">
      <c r="A32" s="10"/>
      <c r="B32" s="5" t="s">
        <v>91</v>
      </c>
      <c r="C32" s="6" t="s">
        <v>92</v>
      </c>
      <c r="D32" s="19">
        <f>IFERROR(1/D23*100,"")</f>
        <v>0.70002366117201453</v>
      </c>
      <c r="E32" s="8" t="s">
        <v>62</v>
      </c>
      <c r="F32" s="12" t="s">
        <v>19</v>
      </c>
    </row>
    <row r="33" spans="1:6" x14ac:dyDescent="0.25">
      <c r="A33" s="10"/>
      <c r="B33" s="5" t="s">
        <v>93</v>
      </c>
      <c r="C33" s="6" t="s">
        <v>94</v>
      </c>
      <c r="D33" s="21" t="str">
        <f>_xll.TR($B$2,"TR.FCFYield")</f>
        <v>The formula must contain at least one field or function.</v>
      </c>
      <c r="E33" s="8" t="s">
        <v>95</v>
      </c>
      <c r="F33" s="9" t="s">
        <v>13</v>
      </c>
    </row>
    <row r="34" spans="1:6" x14ac:dyDescent="0.25">
      <c r="A34" s="10"/>
      <c r="B34" s="5" t="s">
        <v>96</v>
      </c>
      <c r="C34" s="6" t="s">
        <v>97</v>
      </c>
      <c r="D34" s="21" t="str">
        <f>_xll.TR($B$2,"TR.DividendYield")</f>
        <v>NULL</v>
      </c>
      <c r="E34" s="8" t="s">
        <v>98</v>
      </c>
      <c r="F34" s="13" t="s">
        <v>26</v>
      </c>
    </row>
    <row r="35" spans="1:6" x14ac:dyDescent="0.25">
      <c r="A35" s="10"/>
      <c r="B35" s="5" t="s">
        <v>99</v>
      </c>
      <c r="C35" s="6" t="s">
        <v>100</v>
      </c>
      <c r="D35" s="21" t="str">
        <f>_xll.TR($B$2,"TR.BuybackYield")</f>
        <v>The formula must contain at least one field or function.</v>
      </c>
      <c r="E35" s="8" t="s">
        <v>101</v>
      </c>
      <c r="F35" s="13" t="s">
        <v>26</v>
      </c>
    </row>
    <row r="36" spans="1:6" x14ac:dyDescent="0.25">
      <c r="A36" s="10"/>
      <c r="B36" s="5" t="s">
        <v>102</v>
      </c>
      <c r="C36" s="6" t="s">
        <v>103</v>
      </c>
      <c r="D36" s="19" t="str">
        <f>IFERROR(D34+D35,"")</f>
        <v/>
      </c>
      <c r="E36" s="8" t="s">
        <v>62</v>
      </c>
      <c r="F36" s="12" t="s">
        <v>19</v>
      </c>
    </row>
    <row r="37" spans="1:6" x14ac:dyDescent="0.25">
      <c r="A37" s="4" t="s">
        <v>104</v>
      </c>
      <c r="B37" s="5" t="s">
        <v>105</v>
      </c>
      <c r="C37" s="6" t="s">
        <v>106</v>
      </c>
      <c r="D37" s="16">
        <f>_xll.TR($B$2,"TR.CashAndSTInvestments")</f>
        <v>7177043000</v>
      </c>
      <c r="E37" s="8" t="s">
        <v>107</v>
      </c>
      <c r="F37" s="9" t="s">
        <v>13</v>
      </c>
    </row>
    <row r="38" spans="1:6" x14ac:dyDescent="0.25">
      <c r="A38" s="10"/>
      <c r="B38" s="5" t="s">
        <v>108</v>
      </c>
      <c r="C38" s="6" t="s">
        <v>109</v>
      </c>
      <c r="D38" s="16">
        <f>_xll.TR($B$2,"TR.TotalDebtOutstanding")</f>
        <v>0</v>
      </c>
      <c r="E38" s="8" t="s">
        <v>110</v>
      </c>
      <c r="F38" s="9" t="s">
        <v>13</v>
      </c>
    </row>
    <row r="39" spans="1:6" x14ac:dyDescent="0.25">
      <c r="A39" s="10"/>
      <c r="B39" s="5" t="s">
        <v>111</v>
      </c>
      <c r="C39" s="6" t="s">
        <v>112</v>
      </c>
      <c r="D39" s="22">
        <f>IF(D38="","",D38-D37)</f>
        <v>-7177043000</v>
      </c>
      <c r="E39" s="8" t="s">
        <v>62</v>
      </c>
      <c r="F39" s="12" t="s">
        <v>19</v>
      </c>
    </row>
    <row r="40" spans="1:6" x14ac:dyDescent="0.25">
      <c r="A40" s="10"/>
      <c r="B40" s="5" t="s">
        <v>113</v>
      </c>
      <c r="C40" s="6" t="s">
        <v>114</v>
      </c>
      <c r="D40" s="20" t="str">
        <f>_xll.TR($B$2,"TR.NetDebtToEBITDA")</f>
        <v>NULL</v>
      </c>
      <c r="E40" s="8" t="s">
        <v>115</v>
      </c>
      <c r="F40" s="12" t="s">
        <v>19</v>
      </c>
    </row>
    <row r="41" spans="1:6" x14ac:dyDescent="0.25">
      <c r="A41" s="10"/>
      <c r="B41" s="5" t="s">
        <v>116</v>
      </c>
      <c r="C41" s="6" t="s">
        <v>117</v>
      </c>
      <c r="D41" s="21" t="str">
        <f>_xll.TR($B$2,"TR.TotalDebtToTotalEquityPct")</f>
        <v>The formula must contain at least one field or function.</v>
      </c>
      <c r="E41" s="8" t="s">
        <v>118</v>
      </c>
      <c r="F41" s="12" t="s">
        <v>19</v>
      </c>
    </row>
    <row r="42" spans="1:6" x14ac:dyDescent="0.25">
      <c r="A42" s="10"/>
      <c r="B42" s="5" t="s">
        <v>119</v>
      </c>
      <c r="C42" s="6" t="s">
        <v>120</v>
      </c>
      <c r="D42" s="18">
        <f>_xll.TR($B$2,"TR.CurrentRatio")</f>
        <v>7.10982</v>
      </c>
      <c r="E42" s="8" t="s">
        <v>121</v>
      </c>
      <c r="F42" s="13" t="s">
        <v>26</v>
      </c>
    </row>
    <row r="43" spans="1:6" x14ac:dyDescent="0.25">
      <c r="A43" s="10"/>
      <c r="B43" s="5" t="s">
        <v>122</v>
      </c>
      <c r="C43" s="6" t="s">
        <v>123</v>
      </c>
      <c r="D43" s="18">
        <f>_xll.TR($B$2,"TR.QuickRatio")</f>
        <v>7.10982</v>
      </c>
      <c r="E43" s="8" t="s">
        <v>124</v>
      </c>
      <c r="F43" s="13" t="s">
        <v>26</v>
      </c>
    </row>
    <row r="44" spans="1:6" x14ac:dyDescent="0.25">
      <c r="A44" s="10"/>
      <c r="B44" s="5" t="s">
        <v>125</v>
      </c>
      <c r="C44" s="6" t="s">
        <v>126</v>
      </c>
      <c r="D44" s="20" t="str">
        <f>_xll.TR($B$2,"TR.InterestCoverageRatio")</f>
        <v>The formula must contain at least one field or function.</v>
      </c>
      <c r="E44" s="8" t="s">
        <v>127</v>
      </c>
      <c r="F44" s="12" t="s">
        <v>19</v>
      </c>
    </row>
    <row r="45" spans="1:6" x14ac:dyDescent="0.25">
      <c r="A45" s="10"/>
      <c r="B45" s="5" t="s">
        <v>128</v>
      </c>
      <c r="C45" s="6" t="s">
        <v>129</v>
      </c>
      <c r="D45" s="16" t="str">
        <f>_xll.TR($B$2,"TR.GoodwillGross")</f>
        <v>NULL</v>
      </c>
      <c r="E45" s="8" t="s">
        <v>130</v>
      </c>
      <c r="F45" s="13" t="s">
        <v>26</v>
      </c>
    </row>
    <row r="46" spans="1:6" x14ac:dyDescent="0.25">
      <c r="A46" s="10"/>
      <c r="B46" s="5" t="s">
        <v>131</v>
      </c>
      <c r="C46" s="6" t="s">
        <v>132</v>
      </c>
      <c r="D46" s="15" t="str">
        <f>_xll.TR($B$2,"TR.TangibleBVPerShare")</f>
        <v>The formula must contain at least one field or function.</v>
      </c>
      <c r="E46" s="8" t="s">
        <v>133</v>
      </c>
      <c r="F46" s="13" t="s">
        <v>26</v>
      </c>
    </row>
    <row r="47" spans="1:6" x14ac:dyDescent="0.25">
      <c r="A47" s="4" t="s">
        <v>134</v>
      </c>
      <c r="B47" s="5" t="s">
        <v>135</v>
      </c>
      <c r="C47" s="6" t="s">
        <v>136</v>
      </c>
      <c r="D47" s="21" t="str">
        <f>_xll.TR($B$2,"TR.ShortInterestPercentOfFloat")</f>
        <v>The formula must contain at least one field or function.</v>
      </c>
      <c r="E47" s="8" t="s">
        <v>137</v>
      </c>
      <c r="F47" s="13" t="s">
        <v>26</v>
      </c>
    </row>
    <row r="48" spans="1:6" x14ac:dyDescent="0.25">
      <c r="A48" s="10"/>
      <c r="B48" s="5" t="s">
        <v>138</v>
      </c>
      <c r="C48" s="6" t="s">
        <v>139</v>
      </c>
      <c r="D48" s="21" t="str">
        <f>_xll.TR($B$2,"TR.InsiderPercentHeld")</f>
        <v>The formula must contain at least one field or function.</v>
      </c>
      <c r="E48" s="8" t="s">
        <v>140</v>
      </c>
      <c r="F48" s="13" t="s">
        <v>26</v>
      </c>
    </row>
    <row r="49" spans="1:6" x14ac:dyDescent="0.25">
      <c r="A49" s="10"/>
      <c r="B49" s="5" t="s">
        <v>141</v>
      </c>
      <c r="C49" s="6" t="s">
        <v>142</v>
      </c>
      <c r="D49" s="21" t="str">
        <f>_xll.TR($B$2,"TR.InstitutionsPercentHeld")</f>
        <v>The formula must contain at least one field or function.</v>
      </c>
      <c r="E49" s="8" t="s">
        <v>143</v>
      </c>
      <c r="F49" s="13" t="s">
        <v>26</v>
      </c>
    </row>
  </sheetData>
  <mergeCells count="2">
    <mergeCell ref="A3:F3"/>
    <mergeCell ref="A1:F1"/>
  </mergeCell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4"/>
  <sheetViews>
    <sheetView tabSelected="1" workbookViewId="0">
      <pane xSplit="2" ySplit="4" topLeftCell="C8" activePane="bottomRight" state="frozen"/>
      <selection pane="topRight"/>
      <selection pane="bottomLeft"/>
      <selection pane="bottomRight" activeCell="A28" sqref="A28"/>
    </sheetView>
  </sheetViews>
  <sheetFormatPr defaultRowHeight="15" x14ac:dyDescent="0.25"/>
  <cols>
    <col min="1" max="1" width="17.28515625" bestFit="1" customWidth="1"/>
    <col min="2" max="2" width="22.5703125" bestFit="1" customWidth="1"/>
    <col min="3" max="8" width="52.5703125" bestFit="1" customWidth="1"/>
    <col min="9" max="9" width="21.7109375" bestFit="1" customWidth="1"/>
    <col min="10" max="10" width="28" bestFit="1" customWidth="1"/>
  </cols>
  <sheetData>
    <row r="1" spans="1:10" ht="24" customHeight="1" x14ac:dyDescent="0.25">
      <c r="A1" s="44" t="s">
        <v>144</v>
      </c>
      <c r="B1" s="43"/>
      <c r="C1" s="43"/>
      <c r="D1" s="43"/>
      <c r="E1" s="43"/>
      <c r="F1" s="43"/>
      <c r="G1" s="43"/>
      <c r="H1" s="43"/>
      <c r="I1" s="43"/>
      <c r="J1" s="43"/>
    </row>
    <row r="2" spans="1:10" x14ac:dyDescent="0.25">
      <c r="A2" s="42" t="s">
        <v>145</v>
      </c>
      <c r="B2" s="43"/>
      <c r="C2" s="43"/>
      <c r="D2" s="43"/>
      <c r="E2" s="43"/>
      <c r="F2" s="43"/>
      <c r="G2" s="43"/>
      <c r="H2" s="43"/>
      <c r="I2" s="43"/>
      <c r="J2" s="43"/>
    </row>
    <row r="4" spans="1:10" ht="26.1" customHeight="1" x14ac:dyDescent="0.25">
      <c r="A4" s="3" t="s">
        <v>4</v>
      </c>
      <c r="B4" s="3" t="s">
        <v>5</v>
      </c>
      <c r="C4" s="23" t="s">
        <v>146</v>
      </c>
      <c r="D4" s="23" t="s">
        <v>147</v>
      </c>
      <c r="E4" s="23" t="s">
        <v>148</v>
      </c>
      <c r="F4" s="23" t="s">
        <v>149</v>
      </c>
      <c r="G4" s="23" t="s">
        <v>150</v>
      </c>
      <c r="H4" s="23" t="s">
        <v>151</v>
      </c>
      <c r="I4" s="23" t="s">
        <v>152</v>
      </c>
      <c r="J4" s="3" t="s">
        <v>7</v>
      </c>
    </row>
    <row r="5" spans="1:10" x14ac:dyDescent="0.25">
      <c r="A5" s="5" t="s">
        <v>153</v>
      </c>
      <c r="B5" s="4" t="s">
        <v>154</v>
      </c>
      <c r="C5" s="16">
        <f>_xll.TR(Snapshot!$B$2,"TR.Revenue","Period=FY-4")</f>
        <v>1541889000</v>
      </c>
      <c r="D5" s="16">
        <f>_xll.TR(Snapshot!$B$2,"TR.Revenue","Period=FY-3")</f>
        <v>1905871000</v>
      </c>
      <c r="E5" s="16">
        <f>_xll.TR(Snapshot!$B$2,"TR.Revenue","Period=FY-2")</f>
        <v>2225012000</v>
      </c>
      <c r="F5" s="16">
        <f>_xll.TR(Snapshot!$B$2,"TR.Revenue","Period=FY-1")</f>
        <v>2865507000</v>
      </c>
      <c r="G5" s="16">
        <f>_xll.TR(Snapshot!$B$2,"TR.Revenue","Period=FY0")</f>
        <v>4475446000</v>
      </c>
      <c r="H5" s="16">
        <f>_xll.TR(Snapshot!$B$2,"TR.Revenue","Period=LTM")</f>
        <v>5224174000</v>
      </c>
      <c r="I5" s="19">
        <f>IFERROR(((G5/C5)^(1/4)-1)*100,"")</f>
        <v>30.525631423284217</v>
      </c>
      <c r="J5" s="8" t="s">
        <v>155</v>
      </c>
    </row>
    <row r="6" spans="1:10" x14ac:dyDescent="0.25">
      <c r="A6" s="5" t="s">
        <v>156</v>
      </c>
      <c r="B6" s="6" t="s">
        <v>157</v>
      </c>
      <c r="C6" s="16">
        <f>_xll.TR(Snapshot!$B$2,"TR.GrossProfit","Period=FY-4")</f>
        <v>1202485000</v>
      </c>
      <c r="D6" s="16">
        <f>_xll.TR(Snapshot!$B$2,"TR.GrossProfit","Period=FY-3")</f>
        <v>1497322000</v>
      </c>
      <c r="E6" s="16">
        <f>_xll.TR(Snapshot!$B$2,"TR.GrossProfit","Period=FY-2")</f>
        <v>1793907000</v>
      </c>
      <c r="F6" s="16">
        <f>_xll.TR(Snapshot!$B$2,"TR.GrossProfit","Period=FY-1")</f>
        <v>2299517000</v>
      </c>
      <c r="G6" s="16">
        <f>_xll.TR(Snapshot!$B$2,"TR.GrossProfit","Period=FY0")</f>
        <v>3686269000</v>
      </c>
      <c r="H6" s="16">
        <f>_xll.TR(Snapshot!$B$2,"TR.GrossProfit","Period=LTM")</f>
        <v>4392169000</v>
      </c>
      <c r="I6" s="19">
        <f>IFERROR(((G6/C6)^(1/4)-1)*100,"")</f>
        <v>32.320410370176454</v>
      </c>
      <c r="J6" s="8" t="s">
        <v>158</v>
      </c>
    </row>
    <row r="7" spans="1:10" x14ac:dyDescent="0.25">
      <c r="A7" s="5" t="s">
        <v>159</v>
      </c>
      <c r="B7" s="6" t="s">
        <v>160</v>
      </c>
      <c r="C7" s="19">
        <f t="shared" ref="C7:H7" si="0">IFERROR(C6/C5*100,"")</f>
        <v>77.987779924495214</v>
      </c>
      <c r="D7" s="19">
        <f t="shared" si="0"/>
        <v>78.563659345254749</v>
      </c>
      <c r="E7" s="19">
        <f t="shared" si="0"/>
        <v>80.624598878567838</v>
      </c>
      <c r="F7" s="19">
        <f t="shared" si="0"/>
        <v>80.248172487451612</v>
      </c>
      <c r="G7" s="19">
        <f t="shared" si="0"/>
        <v>82.366517214150278</v>
      </c>
      <c r="H7" s="19">
        <f t="shared" si="0"/>
        <v>84.073941641300621</v>
      </c>
      <c r="I7" s="6"/>
      <c r="J7" s="8" t="s">
        <v>62</v>
      </c>
    </row>
    <row r="8" spans="1:10" x14ac:dyDescent="0.25">
      <c r="A8" s="5" t="s">
        <v>161</v>
      </c>
      <c r="B8" s="6" t="s">
        <v>162</v>
      </c>
      <c r="C8" s="16">
        <f>_xll.TR(Snapshot!$B$2,"TR.OperatingIncome","Period=FY-4")</f>
        <v>-411046000</v>
      </c>
      <c r="D8" s="16">
        <f>_xll.TR(Snapshot!$B$2,"TR.OperatingIncome","Period=FY-3")</f>
        <v>-161201000</v>
      </c>
      <c r="E8" s="16">
        <f>_xll.TR(Snapshot!$B$2,"TR.OperatingIncome","Period=FY-2")</f>
        <v>119966000</v>
      </c>
      <c r="F8" s="16">
        <f>_xll.TR(Snapshot!$B$2,"TR.OperatingIncome","Period=FY-1")</f>
        <v>310403000</v>
      </c>
      <c r="G8" s="16">
        <f>_xll.TR(Snapshot!$B$2,"TR.OperatingIncome","Period=FY0")</f>
        <v>1414015000</v>
      </c>
      <c r="H8" s="16">
        <f>_xll.TR(Snapshot!$B$2,"TR.OperatingIncome","Period=LTM")</f>
        <v>1991965000</v>
      </c>
      <c r="I8" s="19" t="str">
        <f>IFERROR(((G8/C8)^(1/4)-1)*100,"")</f>
        <v/>
      </c>
      <c r="J8" s="8" t="s">
        <v>163</v>
      </c>
    </row>
    <row r="9" spans="1:10" x14ac:dyDescent="0.25">
      <c r="A9" s="5" t="s">
        <v>164</v>
      </c>
      <c r="B9" s="6" t="s">
        <v>165</v>
      </c>
      <c r="C9" s="19">
        <f t="shared" ref="C9:H9" si="1">IFERROR(C8/C5*100,"")</f>
        <v>-26.658598641017612</v>
      </c>
      <c r="D9" s="19">
        <f t="shared" si="1"/>
        <v>-8.4581275437844425</v>
      </c>
      <c r="E9" s="19">
        <f t="shared" si="1"/>
        <v>5.3917012582404045</v>
      </c>
      <c r="F9" s="19">
        <f t="shared" si="1"/>
        <v>10.832393709036481</v>
      </c>
      <c r="G9" s="19">
        <f t="shared" si="1"/>
        <v>31.594951653980409</v>
      </c>
      <c r="H9" s="19">
        <f t="shared" si="1"/>
        <v>38.129759843374281</v>
      </c>
      <c r="I9" s="6"/>
      <c r="J9" s="8" t="s">
        <v>62</v>
      </c>
    </row>
    <row r="10" spans="1:10" x14ac:dyDescent="0.25">
      <c r="A10" s="5" t="s">
        <v>166</v>
      </c>
      <c r="B10" s="6" t="s">
        <v>167</v>
      </c>
      <c r="C10" s="16">
        <f>_xll.TR(Snapshot!$B$2,"TR.EBITDA","Period=FY-4")</f>
        <v>-396149000</v>
      </c>
      <c r="D10" s="16">
        <f>_xll.TR(Snapshot!$B$2,"TR.EBITDA","Period=FY-3")</f>
        <v>-138679000</v>
      </c>
      <c r="E10" s="16">
        <f>_xll.TR(Snapshot!$B$2,"TR.EBITDA","Period=FY-2")</f>
        <v>153320000</v>
      </c>
      <c r="F10" s="16">
        <f>_xll.TR(Snapshot!$B$2,"TR.EBITDA","Period=FY-1")</f>
        <v>341990000</v>
      </c>
      <c r="G10" s="16">
        <f>_xll.TR(Snapshot!$B$2,"TR.EBITDA","Period=FY0")</f>
        <v>1440160000</v>
      </c>
      <c r="H10" s="16">
        <f>_xll.TR(Snapshot!$B$2,"TR.EBITDA","Period=LTM")</f>
        <v>2018253000</v>
      </c>
      <c r="I10" s="19" t="str">
        <f>IFERROR(((G10/C10)^(1/4)-1)*100,"")</f>
        <v/>
      </c>
      <c r="J10" s="8" t="s">
        <v>168</v>
      </c>
    </row>
    <row r="11" spans="1:10" x14ac:dyDescent="0.25">
      <c r="A11" s="5" t="s">
        <v>169</v>
      </c>
      <c r="B11" s="6" t="s">
        <v>170</v>
      </c>
      <c r="C11" s="16" t="str">
        <f>_xll.TR(Snapshot!$B$2,"TR.NetIncomeAfterTax","Period=FY-4")</f>
        <v>The formula must contain at least one field or function.</v>
      </c>
      <c r="D11" s="16" t="str">
        <f>_xll.TR(Snapshot!$B$2,"TR.NetIncomeAfterTax","Period=FY-3")</f>
        <v>The formula must contain at least one field or function.</v>
      </c>
      <c r="E11" s="16" t="str">
        <f>_xll.TR(Snapshot!$B$2,"TR.NetIncomeAfterTax","Period=FY-2")</f>
        <v>The formula must contain at least one field or function.</v>
      </c>
      <c r="F11" s="16" t="str">
        <f>_xll.TR(Snapshot!$B$2,"TR.NetIncomeAfterTax","Period=FY-1")</f>
        <v>The formula must contain at least one field or function.</v>
      </c>
      <c r="G11" s="16" t="str">
        <f>_xll.TR(Snapshot!$B$2,"TR.NetIncomeAfterTax","Period=FY0")</f>
        <v>The formula must contain at least one field or function.</v>
      </c>
      <c r="H11" s="16" t="str">
        <f>_xll.TR(Snapshot!$B$2,"TR.NetIncomeAfterTax","Period=LTM")</f>
        <v>The formula must contain at least one field or function.</v>
      </c>
      <c r="I11" s="19" t="str">
        <f>IFERROR(((G11/C11)^(1/4)-1)*100,"")</f>
        <v/>
      </c>
      <c r="J11" s="8" t="s">
        <v>171</v>
      </c>
    </row>
    <row r="12" spans="1:10" x14ac:dyDescent="0.25">
      <c r="A12" s="5" t="s">
        <v>172</v>
      </c>
      <c r="B12" s="6" t="s">
        <v>173</v>
      </c>
      <c r="C12" s="19" t="str">
        <f t="shared" ref="C12:H12" si="2">IFERROR(C11/C5*100,"")</f>
        <v/>
      </c>
      <c r="D12" s="19" t="str">
        <f t="shared" si="2"/>
        <v/>
      </c>
      <c r="E12" s="19" t="str">
        <f t="shared" si="2"/>
        <v/>
      </c>
      <c r="F12" s="19" t="str">
        <f t="shared" si="2"/>
        <v/>
      </c>
      <c r="G12" s="19" t="str">
        <f t="shared" si="2"/>
        <v/>
      </c>
      <c r="H12" s="19" t="str">
        <f t="shared" si="2"/>
        <v/>
      </c>
      <c r="I12" s="6"/>
      <c r="J12" s="8" t="s">
        <v>62</v>
      </c>
    </row>
    <row r="13" spans="1:10" x14ac:dyDescent="0.25">
      <c r="A13" s="5" t="s">
        <v>174</v>
      </c>
      <c r="B13" s="4" t="s">
        <v>175</v>
      </c>
      <c r="C13" s="16">
        <f>_xll.TR(Snapshot!$B$2,"TR.CashFromOperatingAct","Period=FY-4")</f>
        <v>333851000</v>
      </c>
      <c r="D13" s="16">
        <f>_xll.TR(Snapshot!$B$2,"TR.CashFromOperatingAct","Period=FY-3")</f>
        <v>223737000</v>
      </c>
      <c r="E13" s="16">
        <f>_xll.TR(Snapshot!$B$2,"TR.CashFromOperatingAct","Period=FY-2")</f>
        <v>712183000</v>
      </c>
      <c r="F13" s="16">
        <f>_xll.TR(Snapshot!$B$2,"TR.CashFromOperatingAct","Period=FY-1")</f>
        <v>1153865000</v>
      </c>
      <c r="G13" s="16">
        <f>_xll.TR(Snapshot!$B$2,"TR.CashFromOperatingAct","Period=FY0")</f>
        <v>2134473000</v>
      </c>
      <c r="H13" s="16">
        <f>_xll.TR(Snapshot!$B$2,"TR.CashFromOperatingAct","Period=LTM")</f>
        <v>2723375000</v>
      </c>
      <c r="I13" s="19">
        <f>IFERROR(((G13/C13)^(1/4)-1)*100,"")</f>
        <v>59.013682785172605</v>
      </c>
      <c r="J13" s="8" t="s">
        <v>176</v>
      </c>
    </row>
    <row r="14" spans="1:10" x14ac:dyDescent="0.25">
      <c r="A14" s="5" t="s">
        <v>177</v>
      </c>
      <c r="B14" s="6" t="s">
        <v>178</v>
      </c>
      <c r="C14" s="16">
        <f>_xll.TR(Snapshot!$B$2,"TR.CapitalExpenditures","Period=FY-4")</f>
        <v>-12627000</v>
      </c>
      <c r="D14" s="16">
        <f>_xll.TR(Snapshot!$B$2,"TR.CapitalExpenditures","Period=FY-3")</f>
        <v>-40027000</v>
      </c>
      <c r="E14" s="16">
        <f>_xll.TR(Snapshot!$B$2,"TR.CapitalExpenditures","Period=FY-2")</f>
        <v>-15114000</v>
      </c>
      <c r="F14" s="16">
        <f>_xll.TR(Snapshot!$B$2,"TR.CapitalExpenditures","Period=FY-1")</f>
        <v>-12634000</v>
      </c>
      <c r="G14" s="16">
        <f>_xll.TR(Snapshot!$B$2,"TR.CapitalExpenditures","Period=FY0")</f>
        <v>-33882000</v>
      </c>
      <c r="H14" s="16">
        <f>_xll.TR(Snapshot!$B$2,"TR.CapitalExpenditures","Period=LTM")</f>
        <v>-35099000</v>
      </c>
      <c r="I14" s="6"/>
      <c r="J14" s="8" t="s">
        <v>179</v>
      </c>
    </row>
    <row r="15" spans="1:10" x14ac:dyDescent="0.25">
      <c r="A15" s="5" t="s">
        <v>180</v>
      </c>
      <c r="B15" s="6" t="s">
        <v>181</v>
      </c>
      <c r="C15" s="22">
        <f t="shared" ref="C15:H15" si="3">IF(C13="","",C13-C14)</f>
        <v>346478000</v>
      </c>
      <c r="D15" s="22">
        <f t="shared" si="3"/>
        <v>263764000</v>
      </c>
      <c r="E15" s="22">
        <f t="shared" si="3"/>
        <v>727297000</v>
      </c>
      <c r="F15" s="22">
        <f t="shared" si="3"/>
        <v>1166499000</v>
      </c>
      <c r="G15" s="22">
        <f t="shared" si="3"/>
        <v>2168355000</v>
      </c>
      <c r="H15" s="22">
        <f t="shared" si="3"/>
        <v>2758474000</v>
      </c>
      <c r="I15" s="19">
        <f>IFERROR(((G15/C15)^(1/4)-1)*100,"")</f>
        <v>58.166199933982888</v>
      </c>
      <c r="J15" s="8" t="s">
        <v>62</v>
      </c>
    </row>
    <row r="16" spans="1:10" x14ac:dyDescent="0.25">
      <c r="A16" s="5" t="s">
        <v>182</v>
      </c>
      <c r="B16" s="6" t="s">
        <v>183</v>
      </c>
      <c r="C16" s="19">
        <f t="shared" ref="C16:H16" si="4">IFERROR(C15/C5*100,"")</f>
        <v>22.471007964905386</v>
      </c>
      <c r="D16" s="19">
        <f t="shared" si="4"/>
        <v>13.839551575106604</v>
      </c>
      <c r="E16" s="19">
        <f t="shared" si="4"/>
        <v>32.687329326763184</v>
      </c>
      <c r="F16" s="19">
        <f t="shared" si="4"/>
        <v>40.708293506175345</v>
      </c>
      <c r="G16" s="19">
        <f t="shared" si="4"/>
        <v>48.450031572272351</v>
      </c>
      <c r="H16" s="19">
        <f t="shared" si="4"/>
        <v>52.802108046171512</v>
      </c>
      <c r="I16" s="6"/>
      <c r="J16" s="8" t="s">
        <v>62</v>
      </c>
    </row>
    <row r="17" spans="1:10" x14ac:dyDescent="0.25">
      <c r="A17" s="5" t="s">
        <v>184</v>
      </c>
      <c r="B17" s="6" t="s">
        <v>185</v>
      </c>
      <c r="C17" s="16" t="str">
        <f>_xll.TR(Snapshot!$B$2,"TR.StockBasedCompensation","Period=FY-4")</f>
        <v>The formula must contain at least one field or function.</v>
      </c>
      <c r="D17" s="16" t="str">
        <f>_xll.TR(Snapshot!$B$2,"TR.StockBasedCompensation","Period=FY-3")</f>
        <v>The formula must contain at least one field or function.</v>
      </c>
      <c r="E17" s="16" t="str">
        <f>_xll.TR(Snapshot!$B$2,"TR.StockBasedCompensation","Period=FY-2")</f>
        <v>The formula must contain at least one field or function.</v>
      </c>
      <c r="F17" s="16" t="str">
        <f>_xll.TR(Snapshot!$B$2,"TR.StockBasedCompensation","Period=FY-1")</f>
        <v>The formula must contain at least one field or function.</v>
      </c>
      <c r="G17" s="16" t="str">
        <f>_xll.TR(Snapshot!$B$2,"TR.StockBasedCompensation","Period=FY0")</f>
        <v>The formula must contain at least one field or function.</v>
      </c>
      <c r="H17" s="16" t="str">
        <f>_xll.TR(Snapshot!$B$2,"TR.StockBasedCompensation","Period=LTM")</f>
        <v>The formula must contain at least one field or function.</v>
      </c>
      <c r="I17" s="6"/>
      <c r="J17" s="8" t="s">
        <v>186</v>
      </c>
    </row>
    <row r="18" spans="1:10" x14ac:dyDescent="0.25">
      <c r="A18" s="5" t="s">
        <v>187</v>
      </c>
      <c r="B18" s="6" t="s">
        <v>188</v>
      </c>
      <c r="C18" s="19" t="str">
        <f t="shared" ref="C18:H18" si="5">IFERROR(C17/C5*100,"")</f>
        <v/>
      </c>
      <c r="D18" s="19" t="str">
        <f t="shared" si="5"/>
        <v/>
      </c>
      <c r="E18" s="19" t="str">
        <f t="shared" si="5"/>
        <v/>
      </c>
      <c r="F18" s="19" t="str">
        <f t="shared" si="5"/>
        <v/>
      </c>
      <c r="G18" s="19" t="str">
        <f t="shared" si="5"/>
        <v/>
      </c>
      <c r="H18" s="19" t="str">
        <f t="shared" si="5"/>
        <v/>
      </c>
      <c r="I18" s="6"/>
      <c r="J18" s="8" t="s">
        <v>62</v>
      </c>
    </row>
    <row r="19" spans="1:10" x14ac:dyDescent="0.25">
      <c r="A19" s="5" t="s">
        <v>189</v>
      </c>
      <c r="B19" s="6" t="s">
        <v>190</v>
      </c>
      <c r="C19" s="16" t="str">
        <f>_xll.TR(Snapshot!$B$2,"TR.CommonDividendsPaid","Period=FY-4")</f>
        <v>The formula must contain at least one field or function.</v>
      </c>
      <c r="D19" s="16" t="str">
        <f>_xll.TR(Snapshot!$B$2,"TR.CommonDividendsPaid","Period=FY-3")</f>
        <v>The formula must contain at least one field or function.</v>
      </c>
      <c r="E19" s="16" t="str">
        <f>_xll.TR(Snapshot!$B$2,"TR.CommonDividendsPaid","Period=FY-2")</f>
        <v>The formula must contain at least one field or function.</v>
      </c>
      <c r="F19" s="16" t="str">
        <f>_xll.TR(Snapshot!$B$2,"TR.CommonDividendsPaid","Period=FY-1")</f>
        <v>The formula must contain at least one field or function.</v>
      </c>
      <c r="G19" s="16" t="str">
        <f>_xll.TR(Snapshot!$B$2,"TR.CommonDividendsPaid","Period=FY0")</f>
        <v>The formula must contain at least one field or function.</v>
      </c>
      <c r="H19" s="16" t="str">
        <f>_xll.TR(Snapshot!$B$2,"TR.CommonDividendsPaid","Period=LTM")</f>
        <v>The formula must contain at least one field or function.</v>
      </c>
      <c r="I19" s="6"/>
      <c r="J19" s="8" t="s">
        <v>191</v>
      </c>
    </row>
    <row r="20" spans="1:10" x14ac:dyDescent="0.25">
      <c r="A20" s="5" t="s">
        <v>192</v>
      </c>
      <c r="B20" s="6" t="s">
        <v>193</v>
      </c>
      <c r="C20" s="16" t="str">
        <f>_xll.TR(Snapshot!$B$2,"TR.RepurchaseOfCommonStock","Period=FY-4")</f>
        <v>The formula must contain at least one field or function.</v>
      </c>
      <c r="D20" s="16" t="str">
        <f>_xll.TR(Snapshot!$B$2,"TR.RepurchaseOfCommonStock","Period=FY-3")</f>
        <v>The formula must contain at least one field or function.</v>
      </c>
      <c r="E20" s="16" t="str">
        <f>_xll.TR(Snapshot!$B$2,"TR.RepurchaseOfCommonStock","Period=FY-2")</f>
        <v>The formula must contain at least one field or function.</v>
      </c>
      <c r="F20" s="16" t="str">
        <f>_xll.TR(Snapshot!$B$2,"TR.RepurchaseOfCommonStock","Period=FY-1")</f>
        <v>The formula must contain at least one field or function.</v>
      </c>
      <c r="G20" s="16" t="str">
        <f>_xll.TR(Snapshot!$B$2,"TR.RepurchaseOfCommonStock","Period=FY0")</f>
        <v>The formula must contain at least one field or function.</v>
      </c>
      <c r="H20" s="16" t="str">
        <f>_xll.TR(Snapshot!$B$2,"TR.RepurchaseOfCommonStock","Period=LTM")</f>
        <v>The formula must contain at least one field or function.</v>
      </c>
      <c r="I20" s="6"/>
      <c r="J20" s="8" t="s">
        <v>194</v>
      </c>
    </row>
    <row r="21" spans="1:10" x14ac:dyDescent="0.25">
      <c r="A21" s="5" t="s">
        <v>195</v>
      </c>
      <c r="B21" s="4" t="s">
        <v>196</v>
      </c>
      <c r="C21" s="16">
        <f>_xll.TR(Snapshot!$B$2,"TR.CashAndSTInvestments","Period=FY-4")</f>
        <v>2524827000</v>
      </c>
      <c r="D21" s="16">
        <f>_xll.TR(Snapshot!$B$2,"TR.CashAndSTInvestments","Period=FY-3")</f>
        <v>2633675000</v>
      </c>
      <c r="E21" s="16">
        <f>_xll.TR(Snapshot!$B$2,"TR.CashAndSTInvestments","Period=FY-2")</f>
        <v>3674179000</v>
      </c>
      <c r="F21" s="16">
        <f>_xll.TR(Snapshot!$B$2,"TR.CashAndSTInvestments","Period=FY-1")</f>
        <v>5229987000</v>
      </c>
      <c r="G21" s="16">
        <f>_xll.TR(Snapshot!$B$2,"TR.CashAndSTInvestments","Period=FY0")</f>
        <v>7177043000</v>
      </c>
      <c r="H21" s="16">
        <f>_xll.TR(Snapshot!$B$2,"TR.CashAndSTInvestments","Period=LTM")</f>
        <v>6910423750</v>
      </c>
      <c r="I21" s="6"/>
      <c r="J21" s="8" t="s">
        <v>107</v>
      </c>
    </row>
    <row r="22" spans="1:10" x14ac:dyDescent="0.25">
      <c r="A22" s="5" t="s">
        <v>197</v>
      </c>
      <c r="B22" s="6" t="s">
        <v>109</v>
      </c>
      <c r="C22" s="16">
        <f>_xll.TR(Snapshot!$B$2,"TR.TotalDebtOutstanding","Period=FY-4")</f>
        <v>0</v>
      </c>
      <c r="D22" s="16">
        <f>_xll.TR(Snapshot!$B$2,"TR.TotalDebtOutstanding","Period=FY-3")</f>
        <v>0</v>
      </c>
      <c r="E22" s="16">
        <f>_xll.TR(Snapshot!$B$2,"TR.TotalDebtOutstanding","Period=FY-2")</f>
        <v>0</v>
      </c>
      <c r="F22" s="16">
        <f>_xll.TR(Snapshot!$B$2,"TR.TotalDebtOutstanding","Period=FY-1")</f>
        <v>0</v>
      </c>
      <c r="G22" s="16">
        <f>_xll.TR(Snapshot!$B$2,"TR.TotalDebtOutstanding","Period=FY0")</f>
        <v>0</v>
      </c>
      <c r="H22" s="16">
        <f>_xll.TR(Snapshot!$B$2,"TR.TotalDebtOutstanding","Period=LTM")</f>
        <v>0</v>
      </c>
      <c r="I22" s="6"/>
      <c r="J22" s="8" t="s">
        <v>110</v>
      </c>
    </row>
    <row r="23" spans="1:10" x14ac:dyDescent="0.25">
      <c r="A23" s="5" t="s">
        <v>198</v>
      </c>
      <c r="B23" s="6" t="s">
        <v>112</v>
      </c>
      <c r="C23" s="22">
        <f t="shared" ref="C23:H23" si="6">IF(C22="","",C22-C21)</f>
        <v>-2524827000</v>
      </c>
      <c r="D23" s="22">
        <f t="shared" si="6"/>
        <v>-2633675000</v>
      </c>
      <c r="E23" s="22">
        <f t="shared" si="6"/>
        <v>-3674179000</v>
      </c>
      <c r="F23" s="22">
        <f t="shared" si="6"/>
        <v>-5229987000</v>
      </c>
      <c r="G23" s="22">
        <f t="shared" si="6"/>
        <v>-7177043000</v>
      </c>
      <c r="H23" s="22">
        <f t="shared" si="6"/>
        <v>-6910423750</v>
      </c>
      <c r="I23" s="6"/>
      <c r="J23" s="8" t="s">
        <v>62</v>
      </c>
    </row>
    <row r="24" spans="1:10" x14ac:dyDescent="0.25">
      <c r="A24" s="5" t="s">
        <v>199</v>
      </c>
      <c r="B24" s="6" t="s">
        <v>200</v>
      </c>
      <c r="C24" s="16">
        <f>_xll.TR(Snapshot!$B$2,"TR.TotalEquity","Period=FY-4")</f>
        <v>2291030000</v>
      </c>
      <c r="D24" s="16">
        <f>_xll.TR(Snapshot!$B$2,"TR.TotalEquity","Period=FY-3")</f>
        <v>2565326000</v>
      </c>
      <c r="E24" s="16">
        <f>_xll.TR(Snapshot!$B$2,"TR.TotalEquity","Period=FY-2")</f>
        <v>3475561000</v>
      </c>
      <c r="F24" s="16">
        <f>_xll.TR(Snapshot!$B$2,"TR.TotalEquity","Period=FY-1")</f>
        <v>5003275000</v>
      </c>
      <c r="G24" s="16">
        <f>_xll.TR(Snapshot!$B$2,"TR.TotalEquity","Period=FY0")</f>
        <v>7387268000</v>
      </c>
      <c r="H24" s="16">
        <f>_xll.TR(Snapshot!$B$2,"TR.TotalEquity","Period=LTM")</f>
        <v>7089072250</v>
      </c>
      <c r="I24" s="6"/>
      <c r="J24" s="8" t="s">
        <v>201</v>
      </c>
    </row>
    <row r="25" spans="1:10" x14ac:dyDescent="0.25">
      <c r="A25" s="5" t="s">
        <v>202</v>
      </c>
      <c r="B25" s="6" t="s">
        <v>203</v>
      </c>
      <c r="C25" s="16">
        <f>_xll.TR(Snapshot!$B$2,"TR.TotalAssets","Period=FY-4")</f>
        <v>3247450000</v>
      </c>
      <c r="D25" s="16">
        <f>_xll.TR(Snapshot!$B$2,"TR.TotalAssets","Period=FY-3")</f>
        <v>3461239000</v>
      </c>
      <c r="E25" s="16">
        <f>_xll.TR(Snapshot!$B$2,"TR.TotalAssets","Period=FY-2")</f>
        <v>4522425000</v>
      </c>
      <c r="F25" s="16">
        <f>_xll.TR(Snapshot!$B$2,"TR.TotalAssets","Period=FY-1")</f>
        <v>6340884000</v>
      </c>
      <c r="G25" s="16">
        <f>_xll.TR(Snapshot!$B$2,"TR.TotalAssets","Period=FY0")</f>
        <v>8900392000</v>
      </c>
      <c r="H25" s="16">
        <f>_xll.TR(Snapshot!$B$2,"TR.TotalAssets","Period=LTM")</f>
        <v>34579223000</v>
      </c>
      <c r="I25" s="6"/>
      <c r="J25" s="8" t="s">
        <v>204</v>
      </c>
    </row>
    <row r="26" spans="1:10" x14ac:dyDescent="0.25">
      <c r="A26" s="5" t="s">
        <v>205</v>
      </c>
      <c r="B26" s="6" t="s">
        <v>206</v>
      </c>
      <c r="C26" s="16" t="str">
        <f>_xll.TR(Snapshot!$B$2,"TR.InvestedCapital","Period=FY-4")</f>
        <v>The formula must contain at least one field or function.</v>
      </c>
      <c r="D26" s="16" t="str">
        <f>_xll.TR(Snapshot!$B$2,"TR.InvestedCapital","Period=FY-3")</f>
        <v>The formula must contain at least one field or function.</v>
      </c>
      <c r="E26" s="16" t="str">
        <f>_xll.TR(Snapshot!$B$2,"TR.InvestedCapital","Period=FY-2")</f>
        <v>The formula must contain at least one field or function.</v>
      </c>
      <c r="F26" s="16" t="str">
        <f>_xll.TR(Snapshot!$B$2,"TR.InvestedCapital","Period=FY-1")</f>
        <v>The formula must contain at least one field or function.</v>
      </c>
      <c r="G26" s="16" t="str">
        <f>_xll.TR(Snapshot!$B$2,"TR.InvestedCapital","Period=FY0")</f>
        <v>The formula must contain at least one field or function.</v>
      </c>
      <c r="H26" s="16" t="str">
        <f>_xll.TR(Snapshot!$B$2,"TR.InvestedCapital","Period=LTM")</f>
        <v>The formula must contain at least one field or function.</v>
      </c>
      <c r="I26" s="6"/>
      <c r="J26" s="8" t="s">
        <v>207</v>
      </c>
    </row>
    <row r="27" spans="1:10" x14ac:dyDescent="0.25">
      <c r="A27" s="5" t="s">
        <v>208</v>
      </c>
      <c r="B27" s="6" t="s">
        <v>114</v>
      </c>
      <c r="C27" s="24">
        <f t="shared" ref="C27:H27" si="7">IFERROR(C23/C10*1,"")</f>
        <v>6.3734276749404897</v>
      </c>
      <c r="D27" s="24">
        <f t="shared" si="7"/>
        <v>18.99115944014595</v>
      </c>
      <c r="E27" s="24">
        <f t="shared" si="7"/>
        <v>-23.964120793112446</v>
      </c>
      <c r="F27" s="24">
        <f t="shared" si="7"/>
        <v>-15.292806807216586</v>
      </c>
      <c r="G27" s="24">
        <f t="shared" si="7"/>
        <v>-4.9835039162315296</v>
      </c>
      <c r="H27" s="24">
        <f t="shared" si="7"/>
        <v>-3.4239630759870048</v>
      </c>
      <c r="I27" s="6"/>
      <c r="J27" s="8" t="s">
        <v>62</v>
      </c>
    </row>
    <row r="28" spans="1:10" x14ac:dyDescent="0.25">
      <c r="A28" s="5" t="s">
        <v>209</v>
      </c>
      <c r="B28" s="4" t="s">
        <v>210</v>
      </c>
      <c r="C28" s="25" t="str">
        <f t="shared" ref="C28:H28" si="8">IFERROR(C11/C33*1,"")</f>
        <v/>
      </c>
      <c r="D28" s="25" t="str">
        <f t="shared" si="8"/>
        <v/>
      </c>
      <c r="E28" s="25" t="str">
        <f t="shared" si="8"/>
        <v/>
      </c>
      <c r="F28" s="25" t="str">
        <f t="shared" si="8"/>
        <v/>
      </c>
      <c r="G28" s="25" t="str">
        <f t="shared" si="8"/>
        <v/>
      </c>
      <c r="H28" s="25" t="str">
        <f t="shared" si="8"/>
        <v/>
      </c>
      <c r="I28" s="6"/>
      <c r="J28" s="8" t="s">
        <v>62</v>
      </c>
    </row>
    <row r="29" spans="1:10" x14ac:dyDescent="0.25">
      <c r="A29" s="5" t="s">
        <v>211</v>
      </c>
      <c r="B29" s="6" t="s">
        <v>212</v>
      </c>
      <c r="C29" s="25">
        <f t="shared" ref="C29:H29" si="9">IFERROR(C15/C33*1,"")</f>
        <v>0.14913594658484974</v>
      </c>
      <c r="D29" s="25">
        <f t="shared" si="9"/>
        <v>0.11862441657874309</v>
      </c>
      <c r="E29" s="25">
        <f t="shared" si="9"/>
        <v>0.3165013510002711</v>
      </c>
      <c r="F29" s="25">
        <f t="shared" si="9"/>
        <v>0.47596312741296987</v>
      </c>
      <c r="G29" s="25">
        <f t="shared" si="9"/>
        <v>0.84529765160336612</v>
      </c>
      <c r="H29" s="25">
        <f t="shared" si="9"/>
        <v>1.0735043134187359</v>
      </c>
      <c r="I29" s="6"/>
      <c r="J29" s="8" t="s">
        <v>62</v>
      </c>
    </row>
    <row r="30" spans="1:10" x14ac:dyDescent="0.25">
      <c r="A30" s="5" t="s">
        <v>213</v>
      </c>
      <c r="B30" s="6" t="s">
        <v>214</v>
      </c>
      <c r="C30" s="25">
        <f t="shared" ref="C30:H30" si="10">IFERROR(C24/C33*1,"")</f>
        <v>0.98613743933031339</v>
      </c>
      <c r="D30" s="25">
        <f t="shared" si="10"/>
        <v>1.1537218880676692</v>
      </c>
      <c r="E30" s="25">
        <f t="shared" si="10"/>
        <v>1.5124766800686009</v>
      </c>
      <c r="F30" s="25">
        <f t="shared" si="10"/>
        <v>2.0414714597330361</v>
      </c>
      <c r="G30" s="25">
        <f t="shared" si="10"/>
        <v>2.8798053326898478</v>
      </c>
      <c r="H30" s="25">
        <f t="shared" si="10"/>
        <v>2.7588259445302232</v>
      </c>
      <c r="I30" s="6"/>
      <c r="J30" s="8" t="s">
        <v>62</v>
      </c>
    </row>
    <row r="31" spans="1:10" x14ac:dyDescent="0.25">
      <c r="A31" s="5" t="s">
        <v>215</v>
      </c>
      <c r="B31" s="4" t="s">
        <v>216</v>
      </c>
      <c r="C31" s="19" t="str">
        <f t="shared" ref="C31:H31" si="11">IFERROR(C11/C26*100,"")</f>
        <v/>
      </c>
      <c r="D31" s="19" t="str">
        <f t="shared" si="11"/>
        <v/>
      </c>
      <c r="E31" s="19" t="str">
        <f t="shared" si="11"/>
        <v/>
      </c>
      <c r="F31" s="19" t="str">
        <f t="shared" si="11"/>
        <v/>
      </c>
      <c r="G31" s="19" t="str">
        <f t="shared" si="11"/>
        <v/>
      </c>
      <c r="H31" s="19" t="str">
        <f t="shared" si="11"/>
        <v/>
      </c>
      <c r="I31" s="6"/>
      <c r="J31" s="8" t="s">
        <v>62</v>
      </c>
    </row>
    <row r="32" spans="1:10" x14ac:dyDescent="0.25">
      <c r="A32" s="5" t="s">
        <v>217</v>
      </c>
      <c r="B32" s="6" t="s">
        <v>218</v>
      </c>
      <c r="C32" s="19" t="str">
        <f t="shared" ref="C32:H32" si="12">IFERROR(C11/C24*100,"")</f>
        <v/>
      </c>
      <c r="D32" s="19" t="str">
        <f t="shared" si="12"/>
        <v/>
      </c>
      <c r="E32" s="19" t="str">
        <f t="shared" si="12"/>
        <v/>
      </c>
      <c r="F32" s="19" t="str">
        <f t="shared" si="12"/>
        <v/>
      </c>
      <c r="G32" s="19" t="str">
        <f t="shared" si="12"/>
        <v/>
      </c>
      <c r="H32" s="19" t="str">
        <f t="shared" si="12"/>
        <v/>
      </c>
      <c r="I32" s="6"/>
      <c r="J32" s="8" t="s">
        <v>62</v>
      </c>
    </row>
    <row r="33" spans="1:10" x14ac:dyDescent="0.25">
      <c r="A33" s="5" t="s">
        <v>219</v>
      </c>
      <c r="B33" s="6" t="s">
        <v>220</v>
      </c>
      <c r="C33" s="17">
        <f>_xll.RDP.Data(Snapshot!$B$2,"TR.NumberofSharesOutstandingActual", "Period=FY-4")</f>
        <v>2323236000</v>
      </c>
      <c r="D33" s="17">
        <f>_xll.TR(Snapshot!$B$2,"TR.NumberofSharesOutstandingActual","Period=FY-3")</f>
        <v>2223522000</v>
      </c>
      <c r="E33" s="17">
        <f>_xll.TR(Snapshot!$B$2,"TR.NumberofSharesOutstandingActual","Period=FY-2")</f>
        <v>2297927000</v>
      </c>
      <c r="F33" s="17">
        <f>_xll.TR(Snapshot!$B$2,"TR.NumberofSharesOutstandingActual","Period=FY-1")</f>
        <v>2450818000</v>
      </c>
      <c r="G33" s="17">
        <f>_xll.TR(Snapshot!$B$2,"TR.NumberofSharesOutstandingActual","Period=FY0")</f>
        <v>2565197000</v>
      </c>
      <c r="H33" s="17">
        <f>_xll.TR(Snapshot!$B$2,"TR.NumberofSharesOutstandingActual","Period=LTM")</f>
        <v>2569597500</v>
      </c>
      <c r="I33" s="19">
        <f>IFERROR(((G33/C33)^(1/4)-1)*100,"")</f>
        <v>2.5077848383821433</v>
      </c>
      <c r="J33" s="8" t="s">
        <v>221</v>
      </c>
    </row>
    <row r="34" spans="1:10" x14ac:dyDescent="0.25">
      <c r="A34" s="5" t="s">
        <v>222</v>
      </c>
      <c r="B34" s="6" t="s">
        <v>223</v>
      </c>
      <c r="C34" s="19"/>
      <c r="D34" s="19">
        <f>IFERROR((D33/C33-1)*100,"")</f>
        <v>-4.2920305986994034</v>
      </c>
      <c r="E34" s="19">
        <f>IFERROR((E33/D33-1)*100,"")</f>
        <v>3.3462677679825026</v>
      </c>
      <c r="F34" s="19">
        <f>IFERROR((F33/E33-1)*100,"")</f>
        <v>6.6534315493921303</v>
      </c>
      <c r="G34" s="19">
        <f>IFERROR((G33/F33-1)*100,"")</f>
        <v>4.6669724149243308</v>
      </c>
      <c r="H34" s="19">
        <f>IFERROR((H33/G33-1)*100,"")</f>
        <v>0.17154627890176855</v>
      </c>
      <c r="I34" s="6"/>
      <c r="J34" s="8" t="s">
        <v>62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4"/>
  <sheetViews>
    <sheetView workbookViewId="0">
      <selection activeCell="B6" sqref="B6"/>
    </sheetView>
  </sheetViews>
  <sheetFormatPr defaultRowHeight="15" x14ac:dyDescent="0.25"/>
  <cols>
    <col min="1" max="1" width="24" customWidth="1"/>
    <col min="2" max="2" width="14" customWidth="1"/>
    <col min="3" max="3" width="8" customWidth="1"/>
    <col min="4" max="5" width="14" customWidth="1"/>
    <col min="6" max="6" width="12" customWidth="1"/>
  </cols>
  <sheetData>
    <row r="1" spans="1:6" ht="24" customHeight="1" x14ac:dyDescent="0.25">
      <c r="A1" s="44" t="s">
        <v>224</v>
      </c>
      <c r="B1" s="43"/>
      <c r="C1" s="43"/>
      <c r="D1" s="43"/>
      <c r="E1" s="43"/>
      <c r="F1" s="43"/>
    </row>
    <row r="2" spans="1:6" x14ac:dyDescent="0.25">
      <c r="A2" s="42" t="s">
        <v>225</v>
      </c>
      <c r="B2" s="43"/>
      <c r="C2" s="43"/>
      <c r="D2" s="43"/>
      <c r="E2" s="43"/>
      <c r="F2" s="43"/>
    </row>
    <row r="4" spans="1:6" x14ac:dyDescent="0.25">
      <c r="A4" s="26" t="s">
        <v>226</v>
      </c>
      <c r="B4" s="27"/>
      <c r="C4" s="27"/>
      <c r="D4" s="27"/>
      <c r="E4" s="27"/>
      <c r="F4" s="27"/>
    </row>
    <row r="5" spans="1:6" x14ac:dyDescent="0.25">
      <c r="A5" t="s">
        <v>227</v>
      </c>
      <c r="B5" s="28">
        <f>Snapshot!D14</f>
        <v>126.79</v>
      </c>
    </row>
    <row r="6" spans="1:6" x14ac:dyDescent="0.25">
      <c r="A6" t="s">
        <v>228</v>
      </c>
      <c r="B6" s="28" t="str">
        <f>History!H28</f>
        <v/>
      </c>
    </row>
    <row r="7" spans="1:6" x14ac:dyDescent="0.25">
      <c r="A7" t="s">
        <v>229</v>
      </c>
      <c r="B7" s="28">
        <f>History!H29</f>
        <v>1.0735043134187359</v>
      </c>
    </row>
    <row r="9" spans="1:6" x14ac:dyDescent="0.25">
      <c r="A9" s="29" t="s">
        <v>230</v>
      </c>
      <c r="B9" s="29" t="s">
        <v>231</v>
      </c>
      <c r="C9" s="29" t="s">
        <v>232</v>
      </c>
      <c r="D9" s="29" t="s">
        <v>233</v>
      </c>
      <c r="E9" s="29" t="s">
        <v>234</v>
      </c>
      <c r="F9" s="29" t="s">
        <v>235</v>
      </c>
    </row>
    <row r="10" spans="1:6" x14ac:dyDescent="0.25">
      <c r="A10" s="30" t="s">
        <v>236</v>
      </c>
      <c r="B10" s="31" t="str">
        <f>B6</f>
        <v/>
      </c>
      <c r="C10" s="8" t="s">
        <v>237</v>
      </c>
      <c r="D10" s="32"/>
      <c r="E10" s="31" t="str">
        <f>IFERROR(B10*D10,"")</f>
        <v/>
      </c>
      <c r="F10" s="33" t="str">
        <f>IFERROR((E10/$B$5-1)*100,"")</f>
        <v/>
      </c>
    </row>
    <row r="11" spans="1:6" x14ac:dyDescent="0.25">
      <c r="A11" s="30" t="s">
        <v>238</v>
      </c>
      <c r="B11" s="31" t="str">
        <f>B6</f>
        <v/>
      </c>
      <c r="C11" s="8" t="s">
        <v>237</v>
      </c>
      <c r="D11" s="32"/>
      <c r="E11" s="31" t="str">
        <f>IFERROR(B11*D11,"")</f>
        <v/>
      </c>
      <c r="F11" s="33" t="str">
        <f>IFERROR((E11/$B$5-1)*100,"")</f>
        <v/>
      </c>
    </row>
    <row r="12" spans="1:6" x14ac:dyDescent="0.25">
      <c r="A12" s="30" t="s">
        <v>239</v>
      </c>
      <c r="B12" s="31" t="str">
        <f>B6</f>
        <v/>
      </c>
      <c r="C12" s="8" t="s">
        <v>237</v>
      </c>
      <c r="D12" s="32"/>
      <c r="E12" s="31" t="str">
        <f>IFERROR(B12*D12,"")</f>
        <v/>
      </c>
      <c r="F12" s="33" t="str">
        <f>IFERROR((E12/$B$5-1)*100,"")</f>
        <v/>
      </c>
    </row>
    <row r="14" spans="1:6" x14ac:dyDescent="0.25">
      <c r="A14" s="42" t="s">
        <v>240</v>
      </c>
      <c r="B14" s="43"/>
      <c r="C14" s="43"/>
      <c r="D14" s="43"/>
      <c r="E14" s="43"/>
      <c r="F14" s="43"/>
    </row>
  </sheetData>
  <mergeCells count="3">
    <mergeCell ref="A2:F2"/>
    <mergeCell ref="A14:F14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4"/>
  <sheetViews>
    <sheetView topLeftCell="A23" workbookViewId="0">
      <selection activeCell="D14" sqref="D14"/>
    </sheetView>
  </sheetViews>
  <sheetFormatPr defaultRowHeight="15" x14ac:dyDescent="0.25"/>
  <cols>
    <col min="1" max="1" width="22" customWidth="1"/>
    <col min="2" max="11" width="12" customWidth="1"/>
  </cols>
  <sheetData>
    <row r="1" spans="1:11" ht="24" customHeight="1" x14ac:dyDescent="0.25">
      <c r="A1" s="44" t="s">
        <v>241</v>
      </c>
      <c r="B1" s="43"/>
      <c r="C1" s="43"/>
      <c r="D1" s="43"/>
      <c r="E1" s="43"/>
      <c r="F1" s="43"/>
      <c r="G1" s="43"/>
      <c r="H1" s="43"/>
      <c r="I1" s="43"/>
      <c r="J1" s="43"/>
      <c r="K1" s="43"/>
    </row>
    <row r="2" spans="1:11" x14ac:dyDescent="0.25">
      <c r="A2" s="42" t="s">
        <v>242</v>
      </c>
      <c r="B2" s="43"/>
      <c r="C2" s="43"/>
      <c r="D2" s="43"/>
      <c r="E2" s="43"/>
      <c r="F2" s="43"/>
      <c r="G2" s="43"/>
      <c r="H2" s="43"/>
      <c r="I2" s="43"/>
      <c r="J2" s="43"/>
      <c r="K2" s="43"/>
    </row>
    <row r="4" spans="1:11" ht="30" x14ac:dyDescent="0.25">
      <c r="A4" s="3" t="s">
        <v>243</v>
      </c>
      <c r="B4" s="23" t="s">
        <v>37</v>
      </c>
      <c r="C4" s="23" t="s">
        <v>40</v>
      </c>
      <c r="D4" s="23" t="s">
        <v>244</v>
      </c>
      <c r="E4" s="23" t="s">
        <v>245</v>
      </c>
      <c r="F4" s="23" t="s">
        <v>246</v>
      </c>
      <c r="G4" s="23" t="s">
        <v>247</v>
      </c>
      <c r="H4" s="23" t="s">
        <v>248</v>
      </c>
      <c r="I4" s="23" t="s">
        <v>249</v>
      </c>
      <c r="J4" s="23" t="s">
        <v>250</v>
      </c>
      <c r="K4" s="23" t="s">
        <v>251</v>
      </c>
    </row>
    <row r="5" spans="1:11" x14ac:dyDescent="0.25">
      <c r="A5" s="34" t="str">
        <f>_xll.TR("PEERS("&amp;Snapshot!$B$2&amp;")","TR.CommonName;TR.PriceClose;TR.CompanyMarketCap;TR.PE;TR.EVToEBITDA;TR.PriceToSalesPerShare;TR.RevenueActValue.periodgrowth;TR.GrossMargin;TR.NetProfitMargin;TR.FCFYield;TR.NetDebtToEBITDA")</f>
        <v>Snowflake Inc</v>
      </c>
      <c r="B5">
        <v>261.45</v>
      </c>
      <c r="C5">
        <v>90618570000</v>
      </c>
      <c r="D5" s="41" t="s">
        <v>290</v>
      </c>
      <c r="E5" s="41" t="s">
        <v>290</v>
      </c>
      <c r="F5">
        <v>18.005514996255599</v>
      </c>
      <c r="G5">
        <v>67.168599999999998</v>
      </c>
      <c r="H5">
        <v>-28.429359999999999</v>
      </c>
      <c r="I5" s="41" t="s">
        <v>290</v>
      </c>
    </row>
    <row r="6" spans="1:11" x14ac:dyDescent="0.25">
      <c r="A6" s="41" t="s">
        <v>289</v>
      </c>
      <c r="B6">
        <v>385.1</v>
      </c>
      <c r="C6">
        <v>2860690204510.3999</v>
      </c>
      <c r="D6">
        <v>22.9368043688924</v>
      </c>
      <c r="E6">
        <v>15.871843243166699</v>
      </c>
      <c r="F6">
        <v>8.9881648914937902</v>
      </c>
      <c r="G6">
        <v>68.823740000000001</v>
      </c>
      <c r="H6">
        <v>36.14602</v>
      </c>
      <c r="I6">
        <v>0.137079430384968</v>
      </c>
    </row>
    <row r="7" spans="1:11" x14ac:dyDescent="0.25">
      <c r="A7" s="41" t="s">
        <v>292</v>
      </c>
      <c r="B7">
        <v>107.71</v>
      </c>
      <c r="C7">
        <v>111082184680</v>
      </c>
      <c r="D7">
        <v>64.060855135990295</v>
      </c>
      <c r="E7">
        <v>37.069791052813301</v>
      </c>
      <c r="F7">
        <v>7.9571765530085896</v>
      </c>
      <c r="G7">
        <v>77.534270000000006</v>
      </c>
      <c r="H7">
        <v>13.164630000000001</v>
      </c>
      <c r="I7" s="41" t="s">
        <v>290</v>
      </c>
    </row>
    <row r="8" spans="1:11" x14ac:dyDescent="0.25">
      <c r="A8" s="41" t="s">
        <v>293</v>
      </c>
      <c r="B8">
        <v>257.54000000000002</v>
      </c>
      <c r="C8">
        <v>91673987075.059998</v>
      </c>
      <c r="D8">
        <v>629.08229316788402</v>
      </c>
      <c r="E8">
        <v>2243.0301642099598</v>
      </c>
      <c r="F8">
        <v>24.9654719894957</v>
      </c>
      <c r="G8">
        <v>79.955489999999998</v>
      </c>
      <c r="H8">
        <v>3.1437400000000002</v>
      </c>
      <c r="I8" s="41" t="s">
        <v>290</v>
      </c>
    </row>
    <row r="9" spans="1:11" x14ac:dyDescent="0.25">
      <c r="A9" s="41" t="s">
        <v>287</v>
      </c>
      <c r="B9">
        <v>140.63999999999999</v>
      </c>
      <c r="C9">
        <v>405109441440</v>
      </c>
      <c r="D9">
        <v>22.883213282156301</v>
      </c>
      <c r="E9">
        <v>16.2819729698003</v>
      </c>
      <c r="F9">
        <v>6.0142736043231801</v>
      </c>
      <c r="G9">
        <v>65.822410000000005</v>
      </c>
      <c r="H9">
        <v>26.600059999999999</v>
      </c>
      <c r="I9" s="41">
        <v>3.3244343463031298</v>
      </c>
    </row>
    <row r="10" spans="1:11" x14ac:dyDescent="0.25">
      <c r="A10" s="41" t="s">
        <v>294</v>
      </c>
      <c r="B10">
        <v>223.64</v>
      </c>
      <c r="C10">
        <v>88896900000</v>
      </c>
      <c r="D10" s="41">
        <v>12.7982529732303</v>
      </c>
      <c r="E10" s="41">
        <v>9.0385906714917592</v>
      </c>
      <c r="F10">
        <v>3.5279347567267298</v>
      </c>
      <c r="G10">
        <v>89.267529999999994</v>
      </c>
      <c r="H10">
        <v>29.997050000000002</v>
      </c>
      <c r="I10" s="41">
        <v>0.10243264977885</v>
      </c>
    </row>
    <row r="11" spans="1:11" x14ac:dyDescent="0.25">
      <c r="A11" s="41" t="s">
        <v>295</v>
      </c>
      <c r="B11">
        <v>163.32</v>
      </c>
      <c r="C11">
        <v>133759080000</v>
      </c>
      <c r="D11">
        <v>18.895757478992198</v>
      </c>
      <c r="E11">
        <v>12.268976330009901</v>
      </c>
      <c r="F11">
        <v>3.1230960330617101</v>
      </c>
      <c r="G11">
        <v>77.676100000000005</v>
      </c>
      <c r="H11">
        <v>17.95786</v>
      </c>
      <c r="I11" s="41">
        <v>2.08866732628054</v>
      </c>
    </row>
    <row r="12" spans="1:11" x14ac:dyDescent="0.25">
      <c r="A12" s="45" t="s">
        <v>296</v>
      </c>
      <c r="B12" s="43"/>
      <c r="C12" s="43"/>
      <c r="D12" s="43"/>
      <c r="E12" s="43"/>
      <c r="F12" s="43"/>
      <c r="G12" s="43"/>
      <c r="H12" s="43"/>
      <c r="I12" s="43"/>
      <c r="J12" s="43"/>
      <c r="K12" s="43"/>
    </row>
    <row r="13" spans="1:11" x14ac:dyDescent="0.25">
      <c r="A13" s="41" t="s">
        <v>297</v>
      </c>
      <c r="B13">
        <v>187.18</v>
      </c>
      <c r="C13">
        <v>190609536667.76001</v>
      </c>
      <c r="D13" s="41" t="s">
        <v>290</v>
      </c>
      <c r="E13">
        <v>1222.47324780498</v>
      </c>
      <c r="F13">
        <v>37.416971588818598</v>
      </c>
      <c r="G13">
        <v>74.808499999999995</v>
      </c>
      <c r="H13">
        <v>-3.3770099999999998</v>
      </c>
      <c r="I13" s="41" t="s">
        <v>290</v>
      </c>
    </row>
    <row r="14" spans="1:11" x14ac:dyDescent="0.25">
      <c r="A14" s="41" t="s">
        <v>298</v>
      </c>
      <c r="B14">
        <v>342.08</v>
      </c>
      <c r="C14">
        <v>27514153588.16</v>
      </c>
      <c r="D14" s="41" t="s">
        <v>290</v>
      </c>
      <c r="E14" s="41" t="s">
        <v>290</v>
      </c>
      <c r="F14">
        <v>10.5726114973761</v>
      </c>
      <c r="G14">
        <v>71.748570000000001</v>
      </c>
      <c r="H14">
        <v>-2.8878599999999999</v>
      </c>
      <c r="I14" s="41" t="s">
        <v>290</v>
      </c>
    </row>
    <row r="15" spans="1:11" x14ac:dyDescent="0.25">
      <c r="A15" s="41" t="s">
        <v>299</v>
      </c>
      <c r="B15">
        <v>325.91000000000003</v>
      </c>
      <c r="C15">
        <v>265616650000</v>
      </c>
      <c r="D15" s="41">
        <v>268.35574365772698</v>
      </c>
      <c r="E15" s="41">
        <v>163.076421508034</v>
      </c>
      <c r="F15">
        <v>25.043290308590201</v>
      </c>
      <c r="G15">
        <v>73.414299999999997</v>
      </c>
      <c r="H15">
        <v>12.29626</v>
      </c>
      <c r="I15" s="41" t="s">
        <v>290</v>
      </c>
    </row>
    <row r="16" spans="1:11" x14ac:dyDescent="0.25">
      <c r="A16" s="41" t="s">
        <v>300</v>
      </c>
      <c r="B16">
        <v>268.39999999999998</v>
      </c>
      <c r="C16">
        <v>95265778977.600006</v>
      </c>
      <c r="D16" s="41" t="s">
        <v>290</v>
      </c>
      <c r="E16" s="41" t="s">
        <v>290</v>
      </c>
      <c r="F16">
        <v>40.911094400982599</v>
      </c>
      <c r="G16">
        <v>74.51379</v>
      </c>
      <c r="H16">
        <v>-4.7172499999999999</v>
      </c>
      <c r="I16" s="41" t="s">
        <v>290</v>
      </c>
    </row>
    <row r="17" spans="1:9" x14ac:dyDescent="0.25">
      <c r="A17" s="41" t="s">
        <v>301</v>
      </c>
      <c r="B17">
        <v>88.88</v>
      </c>
      <c r="C17">
        <v>48490292352.480003</v>
      </c>
      <c r="D17" s="41" t="s">
        <v>290</v>
      </c>
      <c r="E17" s="41">
        <v>23.5852940328766</v>
      </c>
      <c r="F17">
        <v>7.7866431456242804</v>
      </c>
      <c r="G17">
        <v>71.681929999999994</v>
      </c>
      <c r="H17">
        <v>-23.3093</v>
      </c>
      <c r="I17" s="41">
        <v>7.5500012731595199</v>
      </c>
    </row>
    <row r="18" spans="1:9" x14ac:dyDescent="0.25">
      <c r="A18" s="41" t="s">
        <v>302</v>
      </c>
      <c r="B18">
        <v>49.18</v>
      </c>
      <c r="C18">
        <v>9390655821.4400005</v>
      </c>
      <c r="D18" s="41">
        <v>31.9325766823364</v>
      </c>
      <c r="E18">
        <v>18.315747167559699</v>
      </c>
      <c r="F18">
        <v>2.8577067398642999</v>
      </c>
      <c r="G18">
        <v>79.404809999999998</v>
      </c>
      <c r="H18">
        <v>9.6004000000000005</v>
      </c>
      <c r="I18" s="41" t="s">
        <v>290</v>
      </c>
    </row>
    <row r="19" spans="1:9" x14ac:dyDescent="0.25">
      <c r="A19" s="41" t="s">
        <v>303</v>
      </c>
      <c r="B19">
        <v>138.94999999999999</v>
      </c>
      <c r="C19">
        <v>34320650000</v>
      </c>
      <c r="D19" s="41">
        <v>39.255848118431501</v>
      </c>
      <c r="E19" s="41">
        <v>21.004238368387501</v>
      </c>
      <c r="F19">
        <v>3.4829155672823302</v>
      </c>
      <c r="G19">
        <v>75.701419999999999</v>
      </c>
      <c r="H19">
        <v>7.2550299999999996</v>
      </c>
      <c r="I19" s="41" t="s">
        <v>290</v>
      </c>
    </row>
    <row r="20" spans="1:9" x14ac:dyDescent="0.25">
      <c r="A20" s="41" t="s">
        <v>304</v>
      </c>
      <c r="B20">
        <v>89.76</v>
      </c>
      <c r="C20">
        <v>26320523887.68</v>
      </c>
      <c r="D20" s="41">
        <v>13.1738073712266</v>
      </c>
      <c r="E20" s="41">
        <v>14.254603266130699</v>
      </c>
      <c r="F20">
        <v>5.3355369461713398</v>
      </c>
      <c r="G20" s="41">
        <v>77.016040000000004</v>
      </c>
      <c r="H20">
        <v>39.027279999999998</v>
      </c>
      <c r="I20" s="41" t="s">
        <v>290</v>
      </c>
    </row>
    <row r="21" spans="1:9" x14ac:dyDescent="0.25">
      <c r="A21" s="41" t="s">
        <v>305</v>
      </c>
      <c r="B21">
        <v>126.19</v>
      </c>
      <c r="C21">
        <v>18346190061.689999</v>
      </c>
      <c r="D21">
        <v>42.504530358454097</v>
      </c>
      <c r="E21">
        <v>16.4368026704805</v>
      </c>
      <c r="F21">
        <v>4.2999091233933999</v>
      </c>
      <c r="G21" s="41">
        <v>58.948639999999997</v>
      </c>
      <c r="H21">
        <v>10.74173</v>
      </c>
      <c r="I21">
        <v>2.42631281114901</v>
      </c>
    </row>
    <row r="22" spans="1:9" x14ac:dyDescent="0.25">
      <c r="A22" s="41" t="s">
        <v>306</v>
      </c>
      <c r="B22">
        <v>88.86</v>
      </c>
      <c r="C22">
        <v>22549812217.32</v>
      </c>
      <c r="D22" s="41" t="s">
        <v>290</v>
      </c>
      <c r="E22" s="41" t="s">
        <v>290</v>
      </c>
      <c r="F22">
        <v>3.6428345038135501</v>
      </c>
      <c r="G22">
        <v>82.841819999999998</v>
      </c>
      <c r="H22">
        <v>-4.9218000000000002</v>
      </c>
      <c r="I22" s="41" t="s">
        <v>290</v>
      </c>
    </row>
    <row r="23" spans="1:9" x14ac:dyDescent="0.25">
      <c r="A23" s="41" t="s">
        <v>307</v>
      </c>
      <c r="B23">
        <v>157.51</v>
      </c>
      <c r="C23">
        <v>115399448066.41</v>
      </c>
      <c r="D23" s="41">
        <v>60.853439449842497</v>
      </c>
      <c r="E23" s="41">
        <v>47.684148414673601</v>
      </c>
      <c r="F23">
        <v>16.231724884508001</v>
      </c>
      <c r="G23">
        <v>80.456199999999995</v>
      </c>
      <c r="H23">
        <v>27.257490000000001</v>
      </c>
      <c r="I23" s="41" t="s">
        <v>290</v>
      </c>
    </row>
    <row r="24" spans="1:9" x14ac:dyDescent="0.25">
      <c r="A24" s="41" t="s">
        <v>308</v>
      </c>
      <c r="B24">
        <v>207.48</v>
      </c>
      <c r="C24">
        <v>10626656695.200001</v>
      </c>
      <c r="D24" s="41">
        <v>111.94259354177299</v>
      </c>
      <c r="E24" s="41">
        <v>40.440102893297002</v>
      </c>
      <c r="F24">
        <v>3.2220296972370699</v>
      </c>
      <c r="G24">
        <v>83.760980000000004</v>
      </c>
      <c r="H24">
        <v>1.46621</v>
      </c>
      <c r="I24" s="41" t="s">
        <v>290</v>
      </c>
    </row>
    <row r="25" spans="1:9" x14ac:dyDescent="0.25">
      <c r="A25" s="41" t="s">
        <v>309</v>
      </c>
      <c r="B25">
        <v>139.27000000000001</v>
      </c>
      <c r="C25">
        <v>22521285546.75</v>
      </c>
      <c r="D25" s="41" t="s">
        <v>290</v>
      </c>
      <c r="E25" s="41">
        <v>687.92624224155202</v>
      </c>
      <c r="F25">
        <v>7.09652792467711</v>
      </c>
      <c r="G25">
        <v>76.879409999999993</v>
      </c>
      <c r="H25">
        <v>-1.5516700000000001</v>
      </c>
      <c r="I25" s="41" t="s">
        <v>290</v>
      </c>
    </row>
    <row r="26" spans="1:9" x14ac:dyDescent="0.25">
      <c r="A26" s="41" t="s">
        <v>310</v>
      </c>
      <c r="B26">
        <v>208.45</v>
      </c>
      <c r="C26">
        <v>43982950000</v>
      </c>
      <c r="D26" s="41">
        <v>30.4886521368384</v>
      </c>
      <c r="E26" s="41">
        <v>19.473591234347101</v>
      </c>
      <c r="F26">
        <v>5.8589250033302296</v>
      </c>
      <c r="G26">
        <v>90.979740000000007</v>
      </c>
      <c r="H26">
        <v>15.59811</v>
      </c>
      <c r="I26" s="41" t="s">
        <v>290</v>
      </c>
    </row>
    <row r="27" spans="1:9" x14ac:dyDescent="0.25">
      <c r="A27" s="41" t="s">
        <v>311</v>
      </c>
      <c r="B27">
        <v>99.74</v>
      </c>
      <c r="C27">
        <v>6020125382.3098402</v>
      </c>
      <c r="D27">
        <v>11.822003814237799</v>
      </c>
      <c r="E27">
        <v>6.4803283114042296</v>
      </c>
      <c r="F27">
        <v>1.9392252271931001</v>
      </c>
      <c r="G27">
        <v>66.413579999999996</v>
      </c>
      <c r="H27">
        <v>20.781600000000001</v>
      </c>
      <c r="I27" s="41" t="s">
        <v>290</v>
      </c>
    </row>
    <row r="28" spans="1:9" x14ac:dyDescent="0.25">
      <c r="A28" s="41" t="s">
        <v>312</v>
      </c>
      <c r="B28">
        <v>138.63</v>
      </c>
      <c r="C28">
        <v>24094915009.950001</v>
      </c>
      <c r="D28" s="41">
        <v>96.569931872326805</v>
      </c>
      <c r="E28" s="41">
        <v>81.857359587827602</v>
      </c>
      <c r="F28">
        <v>8.0423614852970609</v>
      </c>
      <c r="G28">
        <v>77.355260000000001</v>
      </c>
      <c r="H28">
        <v>8.0507000000000009</v>
      </c>
      <c r="I28" s="41" t="s">
        <v>290</v>
      </c>
    </row>
    <row r="29" spans="1:9" x14ac:dyDescent="0.25">
      <c r="A29" s="41" t="s">
        <v>313</v>
      </c>
      <c r="B29">
        <v>131.69999999999999</v>
      </c>
      <c r="C29">
        <v>13700462181.9</v>
      </c>
      <c r="D29">
        <v>13.5407316930233</v>
      </c>
      <c r="E29">
        <v>13.998440375203399</v>
      </c>
      <c r="F29">
        <v>4.9711401240565998</v>
      </c>
      <c r="G29">
        <v>86.724879999999999</v>
      </c>
      <c r="H29">
        <v>38.779629999999997</v>
      </c>
      <c r="I29" s="41" t="s">
        <v>290</v>
      </c>
    </row>
    <row r="30" spans="1:9" x14ac:dyDescent="0.25">
      <c r="A30" s="41" t="s">
        <v>314</v>
      </c>
      <c r="B30">
        <v>309.48</v>
      </c>
      <c r="C30">
        <v>13049983973.4</v>
      </c>
      <c r="D30">
        <v>42.770431629223403</v>
      </c>
      <c r="E30">
        <v>24.8602839787007</v>
      </c>
      <c r="F30">
        <v>5.4816249712897003</v>
      </c>
      <c r="G30">
        <v>46.46407</v>
      </c>
      <c r="H30">
        <v>13.531599999999999</v>
      </c>
      <c r="I30" s="41" t="s">
        <v>290</v>
      </c>
    </row>
    <row r="31" spans="1:9" x14ac:dyDescent="0.25">
      <c r="A31" s="41" t="s">
        <v>315</v>
      </c>
      <c r="B31">
        <v>43.68</v>
      </c>
      <c r="C31">
        <v>12677197085.280001</v>
      </c>
      <c r="D31">
        <v>81.524477873793799</v>
      </c>
      <c r="E31">
        <v>36.402656803110901</v>
      </c>
      <c r="F31">
        <v>6.2808554976226096</v>
      </c>
      <c r="G31">
        <v>81.559330000000003</v>
      </c>
      <c r="H31">
        <v>8.0593599999999999</v>
      </c>
      <c r="I31" s="41" t="s">
        <v>290</v>
      </c>
    </row>
    <row r="32" spans="1:9" x14ac:dyDescent="0.25">
      <c r="A32" s="41" t="s">
        <v>316</v>
      </c>
      <c r="B32">
        <v>60.24</v>
      </c>
      <c r="C32">
        <v>6262046371.9200001</v>
      </c>
      <c r="D32">
        <v>18.492936214105502</v>
      </c>
      <c r="E32" s="41" t="s">
        <v>290</v>
      </c>
      <c r="F32">
        <v>3.60026146370069</v>
      </c>
      <c r="G32">
        <v>76.067120000000003</v>
      </c>
      <c r="H32">
        <v>21.144110000000001</v>
      </c>
      <c r="I32" s="41" t="s">
        <v>290</v>
      </c>
    </row>
    <row r="33" spans="1:9" x14ac:dyDescent="0.25">
      <c r="A33" s="41" t="s">
        <v>317</v>
      </c>
      <c r="B33">
        <v>122.54</v>
      </c>
      <c r="C33">
        <v>159014595786.85999</v>
      </c>
      <c r="D33">
        <v>120.387472000629</v>
      </c>
      <c r="E33">
        <v>90.693251944887706</v>
      </c>
      <c r="F33">
        <v>12.859016317876501</v>
      </c>
      <c r="G33">
        <v>48.070270000000001</v>
      </c>
      <c r="H33">
        <v>10.652469999999999</v>
      </c>
      <c r="I33" s="41" t="s">
        <v>290</v>
      </c>
    </row>
    <row r="34" spans="1:9" x14ac:dyDescent="0.25">
      <c r="A34" s="41" t="s">
        <v>318</v>
      </c>
      <c r="B34">
        <v>214.56</v>
      </c>
      <c r="C34">
        <v>32564599401.599998</v>
      </c>
      <c r="D34">
        <v>332.81628094558499</v>
      </c>
      <c r="E34">
        <v>69.511762482294102</v>
      </c>
      <c r="F34">
        <v>6.1423355764529699</v>
      </c>
      <c r="G34" s="41">
        <v>48.91704</v>
      </c>
      <c r="H34">
        <v>0.66769999999999996</v>
      </c>
      <c r="I34" s="41" t="s">
        <v>290</v>
      </c>
    </row>
    <row r="35" spans="1:9" x14ac:dyDescent="0.25">
      <c r="A35" s="41" t="s">
        <v>319</v>
      </c>
      <c r="B35">
        <v>190.12</v>
      </c>
      <c r="C35">
        <v>30883718484.919998</v>
      </c>
      <c r="D35" s="41">
        <v>33.633425383577098</v>
      </c>
      <c r="E35" s="41">
        <v>22.971153747121399</v>
      </c>
      <c r="F35">
        <v>9.30452205729304</v>
      </c>
      <c r="G35">
        <v>75.526039999999995</v>
      </c>
      <c r="H35">
        <v>28.444990000000001</v>
      </c>
      <c r="I35" s="41" t="s">
        <v>290</v>
      </c>
    </row>
    <row r="36" spans="1:9" x14ac:dyDescent="0.25">
      <c r="A36" s="41" t="s">
        <v>320</v>
      </c>
      <c r="B36">
        <v>565.79999999999995</v>
      </c>
      <c r="C36">
        <v>45604655166.599998</v>
      </c>
      <c r="D36" s="41">
        <v>226.48397439746401</v>
      </c>
      <c r="E36">
        <v>306.477442133301</v>
      </c>
      <c r="F36">
        <v>15.286913849133599</v>
      </c>
      <c r="G36">
        <v>59.654739999999997</v>
      </c>
      <c r="H36">
        <v>4.4847799999999998</v>
      </c>
      <c r="I36">
        <v>6.5375873091038201</v>
      </c>
    </row>
    <row r="37" spans="1:9" x14ac:dyDescent="0.25">
      <c r="A37" s="41" t="s">
        <v>321</v>
      </c>
      <c r="B37">
        <v>54.79</v>
      </c>
      <c r="C37">
        <v>14810860688.110001</v>
      </c>
      <c r="D37" s="41">
        <v>57.190275878625897</v>
      </c>
      <c r="E37" s="41">
        <v>44.248993211499098</v>
      </c>
      <c r="F37">
        <v>5.3862885239481404</v>
      </c>
      <c r="G37" s="41">
        <v>86.808840000000004</v>
      </c>
      <c r="H37">
        <v>7.42204</v>
      </c>
      <c r="I37" s="41" t="s">
        <v>290</v>
      </c>
    </row>
    <row r="38" spans="1:9" x14ac:dyDescent="0.25">
      <c r="A38" s="41" t="s">
        <v>322</v>
      </c>
      <c r="B38">
        <v>355.9</v>
      </c>
      <c r="C38">
        <v>35916488068.099998</v>
      </c>
      <c r="D38" s="41">
        <v>22.241539746987598</v>
      </c>
      <c r="E38" s="41">
        <v>14.286296259931101</v>
      </c>
      <c r="F38">
        <v>4.4259381476401698</v>
      </c>
      <c r="G38">
        <v>69.24391</v>
      </c>
      <c r="H38">
        <v>19.44068</v>
      </c>
      <c r="I38" s="41">
        <v>3.1310681119358899</v>
      </c>
    </row>
    <row r="39" spans="1:9" x14ac:dyDescent="0.25">
      <c r="A39" s="41" t="s">
        <v>323</v>
      </c>
      <c r="B39">
        <v>31.24</v>
      </c>
      <c r="C39">
        <v>5220705433.2399998</v>
      </c>
      <c r="D39" s="41">
        <v>16.816402990779</v>
      </c>
      <c r="E39" s="41">
        <v>21.4512381688441</v>
      </c>
      <c r="F39">
        <v>3.07072863675719</v>
      </c>
      <c r="G39" s="41">
        <v>75.86327</v>
      </c>
      <c r="H39">
        <v>22.536049999999999</v>
      </c>
      <c r="I39" s="41" t="s">
        <v>290</v>
      </c>
    </row>
    <row r="40" spans="1:9" x14ac:dyDescent="0.25">
      <c r="A40" s="41" t="s">
        <v>324</v>
      </c>
      <c r="B40">
        <v>84.38</v>
      </c>
      <c r="C40">
        <v>17367814399.080002</v>
      </c>
      <c r="D40" s="41" t="s">
        <v>290</v>
      </c>
      <c r="E40" s="41" t="s">
        <v>290</v>
      </c>
      <c r="F40">
        <v>12.189838977777599</v>
      </c>
      <c r="G40" s="41">
        <v>80.10342</v>
      </c>
      <c r="H40">
        <v>-26.502839999999999</v>
      </c>
      <c r="I40" s="41" t="s">
        <v>290</v>
      </c>
    </row>
    <row r="41" spans="1:9" x14ac:dyDescent="0.25">
      <c r="A41" s="41" t="s">
        <v>325</v>
      </c>
      <c r="B41">
        <v>82.47</v>
      </c>
      <c r="C41">
        <v>3538535671.6799998</v>
      </c>
      <c r="D41" s="41">
        <v>35.852468851347297</v>
      </c>
      <c r="E41">
        <v>102.872669335338</v>
      </c>
      <c r="F41">
        <v>2.7198332311154698</v>
      </c>
      <c r="G41">
        <v>89.196479999999994</v>
      </c>
      <c r="H41">
        <v>9.6381700000000006</v>
      </c>
      <c r="I41" s="41" t="s">
        <v>290</v>
      </c>
    </row>
    <row r="42" spans="1:9" x14ac:dyDescent="0.25">
      <c r="A42" s="41" t="s">
        <v>326</v>
      </c>
      <c r="B42">
        <v>2.92</v>
      </c>
      <c r="C42">
        <v>860576659.27999997</v>
      </c>
      <c r="D42">
        <v>7.2304073294540103</v>
      </c>
      <c r="E42">
        <v>5.3645209916666703</v>
      </c>
      <c r="F42">
        <v>0.68626527853269603</v>
      </c>
      <c r="G42">
        <v>84.137659999999997</v>
      </c>
      <c r="H42">
        <v>9.9399800000000003</v>
      </c>
      <c r="I42" s="41">
        <v>3.0659722222222201</v>
      </c>
    </row>
    <row r="43" spans="1:9" x14ac:dyDescent="0.25">
      <c r="A43" s="41" t="s">
        <v>327</v>
      </c>
      <c r="B43">
        <v>21.11</v>
      </c>
      <c r="C43">
        <v>11154029456.030001</v>
      </c>
      <c r="D43" s="41" t="s">
        <v>290</v>
      </c>
      <c r="E43" s="41" t="s">
        <v>290</v>
      </c>
      <c r="F43">
        <v>9.6070288193135607</v>
      </c>
      <c r="G43">
        <v>82.427629999999994</v>
      </c>
      <c r="H43">
        <v>-118.43883</v>
      </c>
      <c r="I43" s="41" t="s">
        <v>290</v>
      </c>
    </row>
    <row r="44" spans="1:9" x14ac:dyDescent="0.25">
      <c r="A44" s="41" t="s">
        <v>328</v>
      </c>
      <c r="B44">
        <v>17.88</v>
      </c>
      <c r="C44">
        <v>6129330567.2399998</v>
      </c>
      <c r="D44" s="41" t="s">
        <v>290</v>
      </c>
      <c r="E44" s="41" t="s">
        <v>290</v>
      </c>
      <c r="F44">
        <v>5.84354610159538</v>
      </c>
      <c r="G44">
        <v>74.115380000000002</v>
      </c>
      <c r="H44">
        <v>-45.015970000000003</v>
      </c>
      <c r="I44" s="41" t="s">
        <v>290</v>
      </c>
    </row>
    <row r="45" spans="1:9" x14ac:dyDescent="0.25">
      <c r="A45" s="41" t="s">
        <v>288</v>
      </c>
      <c r="B45">
        <v>287.56</v>
      </c>
      <c r="C45">
        <v>270273411116.79999</v>
      </c>
      <c r="D45">
        <v>23.012145476836199</v>
      </c>
      <c r="E45">
        <v>20.6411136524457</v>
      </c>
      <c r="F45">
        <v>3.92206485346026</v>
      </c>
      <c r="G45">
        <v>58.186129999999999</v>
      </c>
      <c r="H45">
        <v>17.371729999999999</v>
      </c>
      <c r="I45" s="41">
        <v>3.46703087282429</v>
      </c>
    </row>
    <row r="46" spans="1:9" x14ac:dyDescent="0.25">
      <c r="A46" s="41" t="s">
        <v>329</v>
      </c>
      <c r="B46">
        <v>357.18</v>
      </c>
      <c r="C46">
        <v>4336715021618.8198</v>
      </c>
      <c r="D46">
        <v>27.247698653482502</v>
      </c>
      <c r="E46">
        <v>25.530122259018899</v>
      </c>
      <c r="F46">
        <v>10.292351865209399</v>
      </c>
      <c r="G46" s="41">
        <v>59.652320000000003</v>
      </c>
      <c r="H46">
        <v>32.80988</v>
      </c>
      <c r="I46" s="41" t="s">
        <v>290</v>
      </c>
    </row>
    <row r="47" spans="1:9" x14ac:dyDescent="0.25">
      <c r="A47" s="41" t="s">
        <v>330</v>
      </c>
      <c r="B47">
        <v>55.62</v>
      </c>
      <c r="C47">
        <v>5950145338.0200005</v>
      </c>
      <c r="D47">
        <v>26.6084934770441</v>
      </c>
      <c r="E47">
        <v>13.140485174062899</v>
      </c>
      <c r="F47">
        <v>0.94430848043210402</v>
      </c>
      <c r="G47">
        <v>22.493379999999998</v>
      </c>
      <c r="H47">
        <v>3.7889599999999999</v>
      </c>
      <c r="I47">
        <v>2.2305846060702201</v>
      </c>
    </row>
    <row r="48" spans="1:9" x14ac:dyDescent="0.25">
      <c r="A48" s="41" t="s">
        <v>331</v>
      </c>
      <c r="B48">
        <v>52.82</v>
      </c>
      <c r="C48">
        <v>12312950433.58</v>
      </c>
      <c r="D48">
        <v>27.711323763955299</v>
      </c>
      <c r="E48">
        <v>14.8537382291974</v>
      </c>
      <c r="F48">
        <v>3.3399203693321802</v>
      </c>
      <c r="G48">
        <v>69.07423</v>
      </c>
      <c r="H48">
        <v>11.819470000000001</v>
      </c>
      <c r="I48">
        <v>1.29769899812837</v>
      </c>
    </row>
    <row r="49" spans="1:9" x14ac:dyDescent="0.25">
      <c r="A49" s="41" t="s">
        <v>332</v>
      </c>
      <c r="B49">
        <v>11.68</v>
      </c>
      <c r="C49">
        <v>6051644706.8800001</v>
      </c>
      <c r="D49">
        <v>19.2720192720193</v>
      </c>
      <c r="E49">
        <v>38.329299619324701</v>
      </c>
      <c r="F49">
        <v>3.6186905137622398</v>
      </c>
      <c r="G49">
        <v>83.212109999999996</v>
      </c>
      <c r="H49">
        <v>17.529800000000002</v>
      </c>
      <c r="I49" s="41" t="s">
        <v>290</v>
      </c>
    </row>
    <row r="50" spans="1:9" x14ac:dyDescent="0.25">
      <c r="A50" s="41" t="s">
        <v>333</v>
      </c>
      <c r="B50">
        <v>43.33</v>
      </c>
      <c r="C50">
        <v>6538073059.2799997</v>
      </c>
      <c r="D50" s="41" t="s">
        <v>290</v>
      </c>
      <c r="E50">
        <v>250.15551058409801</v>
      </c>
      <c r="F50">
        <v>4.7682787269756997</v>
      </c>
      <c r="G50">
        <v>79.521349999999998</v>
      </c>
      <c r="H50">
        <v>-7.62059</v>
      </c>
      <c r="I50" s="41" t="s">
        <v>290</v>
      </c>
    </row>
    <row r="51" spans="1:9" x14ac:dyDescent="0.25">
      <c r="A51" s="41" t="s">
        <v>334</v>
      </c>
      <c r="B51">
        <v>486.45</v>
      </c>
      <c r="C51">
        <v>10746315317.25</v>
      </c>
      <c r="D51" s="41">
        <v>20.064998302652501</v>
      </c>
      <c r="E51" s="41">
        <v>14.3358424940203</v>
      </c>
      <c r="F51">
        <v>1.17281157633976</v>
      </c>
      <c r="G51">
        <v>32.363500000000002</v>
      </c>
      <c r="H51">
        <v>5.7932300000000003</v>
      </c>
      <c r="I51" s="41">
        <v>4.5661363154942496</v>
      </c>
    </row>
    <row r="52" spans="1:9" x14ac:dyDescent="0.25">
      <c r="A52" s="41" t="s">
        <v>335</v>
      </c>
      <c r="B52">
        <v>150.57</v>
      </c>
      <c r="C52">
        <v>6236863712.7299995</v>
      </c>
      <c r="D52">
        <v>95.255869272279796</v>
      </c>
      <c r="E52">
        <v>53.3748215562442</v>
      </c>
      <c r="F52">
        <v>5.2690009316037099</v>
      </c>
      <c r="G52" s="41">
        <v>81.150469999999999</v>
      </c>
      <c r="H52">
        <v>5.9692100000000003</v>
      </c>
      <c r="I52" s="41" t="s">
        <v>290</v>
      </c>
    </row>
    <row r="53" spans="1:9" x14ac:dyDescent="0.25">
      <c r="A53" s="41" t="s">
        <v>336</v>
      </c>
      <c r="B53">
        <v>25.42</v>
      </c>
      <c r="C53">
        <v>1946256574.96</v>
      </c>
      <c r="D53">
        <v>38.546105205695497</v>
      </c>
      <c r="E53">
        <v>13.1249959211179</v>
      </c>
      <c r="F53">
        <v>1.6568087693389499</v>
      </c>
      <c r="G53">
        <v>55.213700000000003</v>
      </c>
      <c r="H53">
        <v>3.4302000000000001</v>
      </c>
      <c r="I53">
        <v>0.16494254978408299</v>
      </c>
    </row>
    <row r="54" spans="1:9" x14ac:dyDescent="0.25">
      <c r="A54" s="41" t="s">
        <v>337</v>
      </c>
      <c r="B54">
        <v>32.42</v>
      </c>
      <c r="C54">
        <v>5475738000</v>
      </c>
      <c r="D54" s="41" t="s">
        <v>290</v>
      </c>
      <c r="E54" s="41" t="s">
        <v>290</v>
      </c>
      <c r="F54">
        <v>5.4491841257552096</v>
      </c>
      <c r="G54">
        <v>87.375739999999993</v>
      </c>
      <c r="H54">
        <v>-5.8578900000000003</v>
      </c>
      <c r="I54" s="41" t="s">
        <v>290</v>
      </c>
    </row>
  </sheetData>
  <mergeCells count="3">
    <mergeCell ref="A2:K2"/>
    <mergeCell ref="A1:K1"/>
    <mergeCell ref="A12:K12"/>
  </mergeCells>
  <pageMargins left="0.75" right="0.75" top="1" bottom="1" header="0.5" footer="0.5"/>
  <customProperties>
    <customPr name="REFI_OFFICE_FUNCTION_DATA" r:id="rId1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7"/>
  <sheetViews>
    <sheetView workbookViewId="0">
      <selection activeCell="B23" sqref="B23"/>
    </sheetView>
  </sheetViews>
  <sheetFormatPr defaultRowHeight="15" x14ac:dyDescent="0.25"/>
  <cols>
    <col min="1" max="1" width="30" customWidth="1"/>
    <col min="2" max="2" width="22" customWidth="1"/>
  </cols>
  <sheetData>
    <row r="1" spans="1:2" ht="24" customHeight="1" x14ac:dyDescent="0.25">
      <c r="A1" s="44" t="s">
        <v>252</v>
      </c>
      <c r="B1" s="43"/>
    </row>
    <row r="2" spans="1:2" x14ac:dyDescent="0.25">
      <c r="A2" s="42" t="s">
        <v>253</v>
      </c>
      <c r="B2" s="43"/>
    </row>
    <row r="4" spans="1:2" x14ac:dyDescent="0.25">
      <c r="A4" s="6" t="s">
        <v>254</v>
      </c>
      <c r="B4" s="35" t="str">
        <f>Snapshot!D6</f>
        <v>Palantir Technologies Inc</v>
      </c>
    </row>
    <row r="5" spans="1:2" x14ac:dyDescent="0.25">
      <c r="A5" s="6" t="s">
        <v>37</v>
      </c>
      <c r="B5" s="31">
        <f>Snapshot!D14</f>
        <v>126.79</v>
      </c>
    </row>
    <row r="6" spans="1:2" x14ac:dyDescent="0.25">
      <c r="A6" s="6" t="s">
        <v>255</v>
      </c>
      <c r="B6" s="36">
        <f>Snapshot!D15</f>
        <v>303955185563.83002</v>
      </c>
    </row>
    <row r="7" spans="1:2" x14ac:dyDescent="0.25">
      <c r="A7" s="6" t="s">
        <v>256</v>
      </c>
      <c r="B7" s="33">
        <f>Snapshot!D22</f>
        <v>-38.902274479568234</v>
      </c>
    </row>
    <row r="8" spans="1:2" x14ac:dyDescent="0.25">
      <c r="A8" s="6" t="s">
        <v>257</v>
      </c>
      <c r="B8" s="36">
        <f>History!H5</f>
        <v>5224174000</v>
      </c>
    </row>
    <row r="9" spans="1:2" x14ac:dyDescent="0.25">
      <c r="A9" s="6" t="s">
        <v>258</v>
      </c>
      <c r="B9" s="33">
        <f>History!I5</f>
        <v>30.525631423284217</v>
      </c>
    </row>
    <row r="10" spans="1:2" x14ac:dyDescent="0.25">
      <c r="A10" s="6" t="s">
        <v>259</v>
      </c>
      <c r="B10" s="33">
        <f>History!H7</f>
        <v>84.073941641300621</v>
      </c>
    </row>
    <row r="11" spans="1:2" x14ac:dyDescent="0.25">
      <c r="A11" s="6" t="s">
        <v>260</v>
      </c>
      <c r="B11" s="33">
        <f>History!H9</f>
        <v>38.129759843374281</v>
      </c>
    </row>
    <row r="12" spans="1:2" x14ac:dyDescent="0.25">
      <c r="A12" s="6" t="s">
        <v>261</v>
      </c>
      <c r="B12" s="33" t="str">
        <f>History!H12</f>
        <v/>
      </c>
    </row>
    <row r="13" spans="1:2" x14ac:dyDescent="0.25">
      <c r="A13" s="6" t="s">
        <v>262</v>
      </c>
      <c r="B13" s="36">
        <f>History!H15</f>
        <v>2758474000</v>
      </c>
    </row>
    <row r="14" spans="1:2" x14ac:dyDescent="0.25">
      <c r="A14" s="6" t="s">
        <v>263</v>
      </c>
      <c r="B14" s="33">
        <f>History!H16</f>
        <v>52.802108046171512</v>
      </c>
    </row>
    <row r="15" spans="1:2" x14ac:dyDescent="0.25">
      <c r="A15" s="6" t="s">
        <v>264</v>
      </c>
      <c r="B15" s="33" t="str">
        <f>Snapshot!D33</f>
        <v>The formula must contain at least one field or function.</v>
      </c>
    </row>
    <row r="16" spans="1:2" x14ac:dyDescent="0.25">
      <c r="A16" s="6" t="s">
        <v>265</v>
      </c>
      <c r="B16" s="37" t="str">
        <f>Snapshot!D40</f>
        <v>NULL</v>
      </c>
    </row>
    <row r="17" spans="1:2" x14ac:dyDescent="0.25">
      <c r="A17" s="6" t="s">
        <v>266</v>
      </c>
      <c r="B17" s="33" t="str">
        <f>History!H31</f>
        <v/>
      </c>
    </row>
    <row r="18" spans="1:2" x14ac:dyDescent="0.25">
      <c r="A18" s="6" t="s">
        <v>267</v>
      </c>
      <c r="B18" s="33">
        <f>History!I33</f>
        <v>2.5077848383821433</v>
      </c>
    </row>
    <row r="19" spans="1:2" x14ac:dyDescent="0.25">
      <c r="A19" s="6" t="s">
        <v>65</v>
      </c>
      <c r="B19" s="37">
        <f>Snapshot!D23</f>
        <v>142.85231420974401</v>
      </c>
    </row>
    <row r="20" spans="1:2" x14ac:dyDescent="0.25">
      <c r="A20" s="6" t="s">
        <v>245</v>
      </c>
      <c r="B20" s="37">
        <f>Snapshot!D26</f>
        <v>146.67902912262801</v>
      </c>
    </row>
    <row r="22" spans="1:2" x14ac:dyDescent="0.25">
      <c r="A22" s="26" t="s">
        <v>268</v>
      </c>
      <c r="B22" s="27"/>
    </row>
    <row r="23" spans="1:2" x14ac:dyDescent="0.25">
      <c r="A23" s="6" t="s">
        <v>269</v>
      </c>
      <c r="B23" s="35" t="str">
        <f>IFERROR(IF(History!H11&gt;0,"yes","no"),"")</f>
        <v>yes</v>
      </c>
    </row>
    <row r="24" spans="1:2" x14ac:dyDescent="0.25">
      <c r="A24" s="6" t="s">
        <v>270</v>
      </c>
      <c r="B24" s="35" t="str">
        <f>IFERROR(IF(History!H15&gt;0,"yes","no"),"")</f>
        <v>yes</v>
      </c>
    </row>
    <row r="25" spans="1:2" x14ac:dyDescent="0.25">
      <c r="A25" s="6" t="s">
        <v>271</v>
      </c>
      <c r="B25" s="35" t="str">
        <f>IFERROR(IF(History!I5&gt;0,"yes","no"),"")</f>
        <v>yes</v>
      </c>
    </row>
    <row r="26" spans="1:2" x14ac:dyDescent="0.25">
      <c r="A26" s="6" t="s">
        <v>272</v>
      </c>
      <c r="B26" s="35" t="str">
        <f>IFERROR(IF(History!I33&gt;1,"yes","no"),"")</f>
        <v>yes</v>
      </c>
    </row>
    <row r="27" spans="1:2" x14ac:dyDescent="0.25">
      <c r="A27" s="6" t="s">
        <v>273</v>
      </c>
      <c r="B27" s="35" t="str">
        <f>IFERROR(IF(Snapshot!D40&gt;3,"yes","no"),"")</f>
        <v>yes</v>
      </c>
    </row>
  </sheetData>
  <mergeCells count="2">
    <mergeCell ref="A2:B2"/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6"/>
  <sheetViews>
    <sheetView workbookViewId="0"/>
  </sheetViews>
  <sheetFormatPr defaultRowHeight="15" x14ac:dyDescent="0.25"/>
  <cols>
    <col min="1" max="1" width="116" customWidth="1"/>
  </cols>
  <sheetData>
    <row r="1" spans="1:1" ht="18" x14ac:dyDescent="0.25">
      <c r="A1" s="38" t="s">
        <v>274</v>
      </c>
    </row>
    <row r="2" spans="1:1" x14ac:dyDescent="0.25">
      <c r="A2" s="39"/>
    </row>
    <row r="3" spans="1:1" x14ac:dyDescent="0.25">
      <c r="A3" s="40" t="s">
        <v>275</v>
      </c>
    </row>
    <row r="4" spans="1:1" x14ac:dyDescent="0.25">
      <c r="A4" s="39" t="s">
        <v>276</v>
      </c>
    </row>
    <row r="5" spans="1:1" x14ac:dyDescent="0.25">
      <c r="A5" s="39" t="s">
        <v>277</v>
      </c>
    </row>
    <row r="6" spans="1:1" x14ac:dyDescent="0.25">
      <c r="A6" s="39" t="s">
        <v>278</v>
      </c>
    </row>
    <row r="7" spans="1:1" x14ac:dyDescent="0.25">
      <c r="A7" s="39" t="s">
        <v>279</v>
      </c>
    </row>
    <row r="8" spans="1:1" x14ac:dyDescent="0.25">
      <c r="A8" s="39"/>
    </row>
    <row r="9" spans="1:1" x14ac:dyDescent="0.25">
      <c r="A9" s="40" t="s">
        <v>280</v>
      </c>
    </row>
    <row r="10" spans="1:1" x14ac:dyDescent="0.25">
      <c r="A10" s="39" t="s">
        <v>281</v>
      </c>
    </row>
    <row r="11" spans="1:1" x14ac:dyDescent="0.25">
      <c r="A11" s="39" t="s">
        <v>282</v>
      </c>
    </row>
    <row r="12" spans="1:1" x14ac:dyDescent="0.25">
      <c r="A12" s="39"/>
    </row>
    <row r="13" spans="1:1" x14ac:dyDescent="0.25">
      <c r="A13" s="40" t="s">
        <v>283</v>
      </c>
    </row>
    <row r="14" spans="1:1" x14ac:dyDescent="0.25">
      <c r="A14" s="39" t="s">
        <v>284</v>
      </c>
    </row>
    <row r="15" spans="1:1" x14ac:dyDescent="0.25">
      <c r="A15" s="39" t="s">
        <v>285</v>
      </c>
    </row>
    <row r="16" spans="1:1" x14ac:dyDescent="0.25">
      <c r="A16" s="39" t="s">
        <v>286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Snapshot</vt:lpstr>
      <vt:lpstr>History</vt:lpstr>
      <vt:lpstr>Valuation</vt:lpstr>
      <vt:lpstr>Peers</vt:lpstr>
      <vt:lpstr>Dashboard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Serban B Valentin-Daniel</cp:lastModifiedBy>
  <dcterms:created xsi:type="dcterms:W3CDTF">2026-07-13T20:16:12Z</dcterms:created>
  <dcterms:modified xsi:type="dcterms:W3CDTF">2026-07-13T20:37:19Z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owerlinkCOMAddIn.COMAddIn.WebAddinBridge.Options">
    <vt:lpwstr>{"port":50153,"version":"1.26.718"}</vt:lpwstr>
  </property>
</Properties>
</file>